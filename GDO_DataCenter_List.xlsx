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https://orange0-my.sharepoint.com/personal/samy_tahiri_orange_com/Documents/Bureau/"/>
    </mc:Choice>
  </mc:AlternateContent>
  <xr:revisionPtr revIDLastSave="0" documentId="8_{90D52333-3730-4535-B2CF-90A300A6551D}" xr6:coauthVersionLast="47" xr6:coauthVersionMax="47" xr10:uidLastSave="{00000000-0000-0000-0000-000000000000}"/>
  <bookViews>
    <workbookView xWindow="28680" yWindow="3555" windowWidth="25440" windowHeight="15270" firstSheet="2" activeTab="2" xr2:uid="{DC6BAD57-35CC-487F-8BB0-C5CDA0BAF836}"/>
  </bookViews>
  <sheets>
    <sheet name="Liste cible - Plazza" sheetId="5" state="hidden" r:id="rId1"/>
    <sheet name="Feuil2" sheetId="10" state="hidden" r:id="rId2"/>
    <sheet name="Consolidate List" sheetId="1" r:id="rId3"/>
    <sheet name="Sheet1" sheetId="11" state="hidden" r:id="rId4"/>
    <sheet name="Liste source - OLD" sheetId="3" state="hidden" r:id="rId5"/>
    <sheet name="Liste source - MARK" sheetId="2" state="hidden" r:id="rId6"/>
    <sheet name="Liste source - MICH" sheetId="7" state="hidden" r:id="rId7"/>
    <sheet name="Liste source - NEW" sheetId="4" state="hidden" r:id="rId8"/>
  </sheets>
  <definedNames>
    <definedName name="_xlnm._FilterDatabase" localSheetId="2" hidden="1">'Consolidate List'!#REF!</definedName>
    <definedName name="_xlnm._FilterDatabase" localSheetId="0" hidden="1">'Liste cible - Plazza'!$A$1:$K$500</definedName>
  </definedNames>
  <calcPr calcId="191028"/>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1" i="1" l="1"/>
  <c r="L171" i="1"/>
  <c r="L80" i="1"/>
  <c r="A11" i="1"/>
  <c r="A12" i="1"/>
  <c r="L11" i="1"/>
  <c r="L12" i="1"/>
  <c r="A48" i="1"/>
  <c r="L48" i="1"/>
  <c r="A35" i="1"/>
  <c r="L35" i="1"/>
  <c r="A27" i="1"/>
  <c r="L27" i="1"/>
  <c r="A108" i="1"/>
  <c r="L108" i="1"/>
  <c r="A180" i="1"/>
  <c r="L180" i="1"/>
  <c r="A107" i="1"/>
  <c r="L107" i="1"/>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87" i="5"/>
  <c r="A288" i="5"/>
  <c r="A289" i="5"/>
  <c r="A290" i="5"/>
  <c r="A291" i="5"/>
  <c r="A292" i="5"/>
  <c r="A293" i="5"/>
  <c r="A294" i="5"/>
  <c r="A295" i="5"/>
  <c r="A296" i="5"/>
  <c r="A297" i="5"/>
  <c r="A298" i="5"/>
  <c r="A299" i="5"/>
  <c r="A300" i="5"/>
  <c r="A301" i="5"/>
  <c r="A302" i="5"/>
  <c r="A303" i="5"/>
  <c r="A304" i="5"/>
  <c r="A305" i="5"/>
  <c r="A306" i="5"/>
  <c r="A307" i="5"/>
  <c r="A308" i="5"/>
  <c r="A309" i="5"/>
  <c r="A310" i="5"/>
  <c r="A311" i="5"/>
  <c r="A312" i="5"/>
  <c r="A313" i="5"/>
  <c r="A314" i="5"/>
  <c r="A315" i="5"/>
  <c r="A316" i="5"/>
  <c r="A317" i="5"/>
  <c r="A318" i="5"/>
  <c r="A319" i="5"/>
  <c r="A320" i="5"/>
  <c r="A321" i="5"/>
  <c r="A322" i="5"/>
  <c r="A323" i="5"/>
  <c r="A324" i="5"/>
  <c r="A325" i="5"/>
  <c r="A326" i="5"/>
  <c r="A327" i="5"/>
  <c r="A328" i="5"/>
  <c r="A329" i="5"/>
  <c r="A330" i="5"/>
  <c r="A331" i="5"/>
  <c r="A332" i="5"/>
  <c r="A333" i="5"/>
  <c r="A334" i="5"/>
  <c r="A335" i="5"/>
  <c r="A336" i="5"/>
  <c r="A337" i="5"/>
  <c r="A338" i="5"/>
  <c r="A339" i="5"/>
  <c r="A340" i="5"/>
  <c r="A341" i="5"/>
  <c r="A342" i="5"/>
  <c r="A343" i="5"/>
  <c r="A344" i="5"/>
  <c r="A345" i="5"/>
  <c r="A346" i="5"/>
  <c r="A347" i="5"/>
  <c r="A348" i="5"/>
  <c r="A349" i="5"/>
  <c r="A350" i="5"/>
  <c r="A351" i="5"/>
  <c r="A352" i="5"/>
  <c r="A353" i="5"/>
  <c r="A354" i="5"/>
  <c r="A355" i="5"/>
  <c r="A356" i="5"/>
  <c r="A357" i="5"/>
  <c r="A358" i="5"/>
  <c r="A359" i="5"/>
  <c r="A360" i="5"/>
  <c r="A361" i="5"/>
  <c r="A362" i="5"/>
  <c r="A363" i="5"/>
  <c r="A364" i="5"/>
  <c r="A365" i="5"/>
  <c r="A366" i="5"/>
  <c r="A367" i="5"/>
  <c r="A368" i="5"/>
  <c r="A369" i="5"/>
  <c r="A370" i="5"/>
  <c r="A371" i="5"/>
  <c r="A372" i="5"/>
  <c r="A373" i="5"/>
  <c r="A374" i="5"/>
  <c r="A375" i="5"/>
  <c r="A376" i="5"/>
  <c r="A377" i="5"/>
  <c r="A378" i="5"/>
  <c r="A379" i="5"/>
  <c r="A380" i="5"/>
  <c r="A381" i="5"/>
  <c r="A382" i="5"/>
  <c r="A383" i="5"/>
  <c r="A384" i="5"/>
  <c r="A385" i="5"/>
  <c r="A386" i="5"/>
  <c r="A387" i="5"/>
  <c r="A388" i="5"/>
  <c r="A389" i="5"/>
  <c r="A390" i="5"/>
  <c r="A391" i="5"/>
  <c r="A392" i="5"/>
  <c r="A393" i="5"/>
  <c r="A394" i="5"/>
  <c r="A395" i="5"/>
  <c r="A396" i="5"/>
  <c r="A397" i="5"/>
  <c r="A398" i="5"/>
  <c r="A399" i="5"/>
  <c r="A400" i="5"/>
  <c r="A401" i="5"/>
  <c r="A402" i="5"/>
  <c r="A403" i="5"/>
  <c r="A404" i="5"/>
  <c r="A405" i="5"/>
  <c r="A406" i="5"/>
  <c r="A407" i="5"/>
  <c r="A408" i="5"/>
  <c r="A409" i="5"/>
  <c r="A410" i="5"/>
  <c r="A411" i="5"/>
  <c r="A412" i="5"/>
  <c r="A413" i="5"/>
  <c r="A414" i="5"/>
  <c r="A415" i="5"/>
  <c r="A416" i="5"/>
  <c r="A417" i="5"/>
  <c r="A418" i="5"/>
  <c r="A419" i="5"/>
  <c r="A420" i="5"/>
  <c r="A421" i="5"/>
  <c r="A422" i="5"/>
  <c r="A423" i="5"/>
  <c r="A424" i="5"/>
  <c r="A425" i="5"/>
  <c r="A426" i="5"/>
  <c r="A427" i="5"/>
  <c r="A428" i="5"/>
  <c r="A429" i="5"/>
  <c r="A430" i="5"/>
  <c r="A431" i="5"/>
  <c r="A432" i="5"/>
  <c r="A433" i="5"/>
  <c r="A434" i="5"/>
  <c r="A435" i="5"/>
  <c r="A436" i="5"/>
  <c r="A437" i="5"/>
  <c r="A438" i="5"/>
  <c r="A439" i="5"/>
  <c r="A440" i="5"/>
  <c r="A441" i="5"/>
  <c r="A442" i="5"/>
  <c r="A443" i="5"/>
  <c r="A444" i="5"/>
  <c r="A445" i="5"/>
  <c r="A446" i="5"/>
  <c r="A447" i="5"/>
  <c r="A448" i="5"/>
  <c r="A449" i="5"/>
  <c r="A450" i="5"/>
  <c r="A451" i="5"/>
  <c r="A452" i="5"/>
  <c r="A453" i="5"/>
  <c r="A454" i="5"/>
  <c r="A455" i="5"/>
  <c r="A456" i="5"/>
  <c r="A457" i="5"/>
  <c r="A458" i="5"/>
  <c r="A459" i="5"/>
  <c r="A460" i="5"/>
  <c r="A461" i="5"/>
  <c r="A462" i="5"/>
  <c r="A463" i="5"/>
  <c r="A464" i="5"/>
  <c r="A465" i="5"/>
  <c r="A466" i="5"/>
  <c r="A467" i="5"/>
  <c r="A468" i="5"/>
  <c r="A469" i="5"/>
  <c r="A470" i="5"/>
  <c r="A471" i="5"/>
  <c r="A472" i="5"/>
  <c r="A473" i="5"/>
  <c r="A474" i="5"/>
  <c r="A475" i="5"/>
  <c r="A476" i="5"/>
  <c r="A477" i="5"/>
  <c r="A478" i="5"/>
  <c r="A479" i="5"/>
  <c r="A480" i="5"/>
  <c r="A481" i="5"/>
  <c r="A482" i="5"/>
  <c r="A483" i="5"/>
  <c r="A484" i="5"/>
  <c r="A485" i="5"/>
  <c r="A486" i="5"/>
  <c r="A487" i="5"/>
  <c r="A488" i="5"/>
  <c r="A489" i="5"/>
  <c r="A490" i="5"/>
  <c r="A491" i="5"/>
  <c r="A492" i="5"/>
  <c r="A493" i="5"/>
  <c r="A494" i="5"/>
  <c r="A495" i="5"/>
  <c r="A496" i="5"/>
  <c r="A497" i="5"/>
  <c r="A498" i="5"/>
  <c r="A499" i="5"/>
  <c r="A500" i="5"/>
  <c r="A2" i="1"/>
  <c r="A3" i="1"/>
  <c r="A3" i="5" s="1"/>
  <c r="A53" i="1"/>
  <c r="A54" i="1"/>
  <c r="A6" i="1"/>
  <c r="A6" i="5" s="1"/>
  <c r="A55" i="1"/>
  <c r="A56" i="1"/>
  <c r="A59" i="1"/>
  <c r="A60" i="1"/>
  <c r="A64" i="1"/>
  <c r="A11" i="5" s="1"/>
  <c r="A65" i="1"/>
  <c r="A13" i="1"/>
  <c r="A13" i="5" s="1"/>
  <c r="A4" i="1"/>
  <c r="A15" i="1"/>
  <c r="A15" i="5" s="1"/>
  <c r="A16" i="1"/>
  <c r="A16" i="5" s="1"/>
  <c r="A5" i="1"/>
  <c r="A18" i="1"/>
  <c r="A18" i="5" s="1"/>
  <c r="A7" i="1"/>
  <c r="A20" i="1"/>
  <c r="A20" i="5" s="1"/>
  <c r="A8" i="1"/>
  <c r="A22" i="1"/>
  <c r="A22" i="5" s="1"/>
  <c r="A66" i="1"/>
  <c r="A24" i="1"/>
  <c r="A24" i="5" s="1"/>
  <c r="A67" i="1"/>
  <c r="A26" i="1"/>
  <c r="A26" i="5" s="1"/>
  <c r="A68" i="1"/>
  <c r="A70" i="1"/>
  <c r="A75" i="1"/>
  <c r="A78" i="1"/>
  <c r="A79" i="1"/>
  <c r="A32" i="1"/>
  <c r="A32" i="5" s="1"/>
  <c r="A81" i="1"/>
  <c r="A82" i="1"/>
  <c r="A83" i="1"/>
  <c r="A84" i="1"/>
  <c r="A9" i="1"/>
  <c r="A39" i="1"/>
  <c r="A40" i="1"/>
  <c r="A110" i="1"/>
  <c r="A112" i="1"/>
  <c r="A114" i="1"/>
  <c r="A115" i="1"/>
  <c r="A121" i="1"/>
  <c r="A135" i="1"/>
  <c r="A47" i="1"/>
  <c r="A137" i="1"/>
  <c r="A138" i="1"/>
  <c r="A139" i="1"/>
  <c r="A140" i="1"/>
  <c r="A141" i="1"/>
  <c r="A142" i="1"/>
  <c r="A170" i="1"/>
  <c r="A172" i="1"/>
  <c r="A57" i="1"/>
  <c r="A58" i="1"/>
  <c r="A178" i="1"/>
  <c r="A179" i="1"/>
  <c r="A61" i="1"/>
  <c r="A62" i="1"/>
  <c r="A63" i="1"/>
  <c r="A144" i="1"/>
  <c r="A146" i="1"/>
  <c r="A147" i="1"/>
  <c r="A148" i="1"/>
  <c r="A149" i="1"/>
  <c r="A69" i="1"/>
  <c r="A150" i="1"/>
  <c r="A71" i="1"/>
  <c r="A72" i="1"/>
  <c r="A73" i="1"/>
  <c r="A74" i="1"/>
  <c r="A85" i="1"/>
  <c r="A76" i="1"/>
  <c r="A77" i="1"/>
  <c r="A151" i="1"/>
  <c r="A167" i="1"/>
  <c r="A88" i="1"/>
  <c r="A90" i="1"/>
  <c r="A91" i="1"/>
  <c r="A92" i="1"/>
  <c r="A93" i="1"/>
  <c r="A94" i="1"/>
  <c r="A86" i="1"/>
  <c r="A87" i="1"/>
  <c r="A132" i="1"/>
  <c r="A89" i="1"/>
  <c r="A156" i="1"/>
  <c r="A129" i="1"/>
  <c r="A134" i="1"/>
  <c r="A154" i="1"/>
  <c r="A152" i="1"/>
  <c r="A153" i="1"/>
  <c r="A155" i="1"/>
  <c r="A97" i="1"/>
  <c r="A98" i="1"/>
  <c r="A99" i="1"/>
  <c r="A168" i="1"/>
  <c r="A101" i="1"/>
  <c r="A169" i="1"/>
  <c r="A166" i="1"/>
  <c r="A104" i="1"/>
  <c r="A157" i="1"/>
  <c r="A177" i="1"/>
  <c r="A95" i="1"/>
  <c r="A96" i="1"/>
  <c r="A102" i="1"/>
  <c r="A103" i="1"/>
  <c r="A111" i="1"/>
  <c r="A105" i="1"/>
  <c r="A113" i="1"/>
  <c r="A181" i="1"/>
  <c r="A165" i="1"/>
  <c r="A116" i="1"/>
  <c r="A117" i="1"/>
  <c r="A118" i="1"/>
  <c r="A119" i="1"/>
  <c r="A120" i="1"/>
  <c r="A173" i="1"/>
  <c r="A122" i="1"/>
  <c r="A123" i="1"/>
  <c r="A124" i="1"/>
  <c r="A125" i="1"/>
  <c r="A126" i="1"/>
  <c r="A127" i="1"/>
  <c r="A128" i="1"/>
  <c r="A159" i="1"/>
  <c r="A130" i="1"/>
  <c r="A131" i="1"/>
  <c r="A109" i="1"/>
  <c r="A133" i="1"/>
  <c r="A163" i="1"/>
  <c r="A164" i="1"/>
  <c r="A160" i="1"/>
  <c r="A161" i="1"/>
  <c r="A162" i="1"/>
  <c r="A174" i="1"/>
  <c r="A14" i="1"/>
  <c r="A106" i="1"/>
  <c r="A143" i="1"/>
  <c r="A136" i="1"/>
  <c r="A145" i="1"/>
  <c r="A17" i="1"/>
  <c r="A19" i="1"/>
  <c r="A51" i="1"/>
  <c r="A21" i="1"/>
  <c r="A23" i="1"/>
  <c r="A29" i="1"/>
  <c r="A30" i="1"/>
  <c r="A31" i="1"/>
  <c r="A52" i="1"/>
  <c r="A25" i="1"/>
  <c r="A10" i="1"/>
  <c r="A34" i="1"/>
  <c r="A100" i="1"/>
  <c r="A42" i="1"/>
  <c r="A36" i="1"/>
  <c r="A45" i="1"/>
  <c r="A46" i="1"/>
  <c r="A49" i="1"/>
  <c r="A50" i="1"/>
  <c r="A43" i="1"/>
  <c r="A44" i="1"/>
  <c r="A37" i="1"/>
  <c r="A158" i="1"/>
  <c r="A38" i="1"/>
  <c r="A41" i="1"/>
  <c r="A175" i="1"/>
  <c r="A28" i="1"/>
  <c r="A33" i="1"/>
  <c r="A176" i="1"/>
  <c r="L98" i="1"/>
  <c r="L16" i="1"/>
  <c r="L22" i="1"/>
  <c r="L4" i="1"/>
  <c r="L106" i="1"/>
  <c r="L34" i="1"/>
  <c r="L5" i="1"/>
  <c r="L174" i="1"/>
  <c r="L8" i="1"/>
  <c r="L2" i="1"/>
  <c r="L15" i="1"/>
  <c r="L89" i="1"/>
  <c r="L18" i="1"/>
  <c r="L20" i="1"/>
  <c r="L143" i="1"/>
  <c r="L17" i="1"/>
  <c r="L37" i="1"/>
  <c r="L51" i="1"/>
  <c r="L45" i="1"/>
  <c r="L7" i="1"/>
  <c r="L145" i="1"/>
  <c r="L9" i="1"/>
  <c r="L24" i="1"/>
  <c r="L3" i="1"/>
  <c r="L26" i="1"/>
  <c r="L32" i="1"/>
  <c r="L66" i="1"/>
  <c r="L67" i="1"/>
  <c r="L53" i="1"/>
  <c r="L68" i="1"/>
  <c r="L75" i="1"/>
  <c r="L78" i="1"/>
  <c r="L54" i="1"/>
  <c r="L90" i="1"/>
  <c r="L81" i="1"/>
  <c r="L82" i="1"/>
  <c r="L83" i="1"/>
  <c r="L105" i="1"/>
  <c r="L95" i="1"/>
  <c r="L96" i="1"/>
  <c r="L55" i="1"/>
  <c r="L56" i="1"/>
  <c r="L59" i="1"/>
  <c r="L60" i="1"/>
  <c r="L64" i="1"/>
  <c r="L65" i="1"/>
  <c r="L91" i="1"/>
  <c r="L92" i="1"/>
  <c r="L93" i="1"/>
  <c r="L102" i="1"/>
  <c r="L86" i="1"/>
  <c r="L88" i="1"/>
  <c r="L103" i="1"/>
  <c r="L94" i="1"/>
  <c r="L85" i="1"/>
  <c r="L72" i="1"/>
  <c r="L73" i="1"/>
  <c r="L79" i="1"/>
  <c r="L111" i="1"/>
  <c r="L70" i="1"/>
  <c r="L84" i="1"/>
  <c r="L74" i="1"/>
  <c r="L76" i="1"/>
  <c r="L77" i="1"/>
  <c r="L6" i="1"/>
  <c r="L168" i="1"/>
  <c r="L169" i="1"/>
  <c r="L101" i="1"/>
  <c r="L109" i="1"/>
  <c r="L119" i="1"/>
  <c r="L130" i="1"/>
  <c r="L39" i="1"/>
  <c r="L63" i="1"/>
  <c r="L97" i="1"/>
  <c r="L157" i="1"/>
  <c r="L13" i="1"/>
  <c r="L99" i="1"/>
  <c r="L144" i="1"/>
  <c r="L167" i="1"/>
  <c r="L40" i="1"/>
  <c r="L87" i="1"/>
  <c r="L166" i="1"/>
  <c r="L104" i="1"/>
  <c r="L177" i="1"/>
  <c r="L120" i="1"/>
  <c r="L116" i="1"/>
  <c r="L118" i="1"/>
  <c r="L117" i="1"/>
  <c r="L110" i="1"/>
  <c r="L112" i="1"/>
  <c r="L114" i="1"/>
  <c r="L115" i="1"/>
  <c r="L121" i="1"/>
  <c r="L156" i="1"/>
  <c r="L132" i="1"/>
  <c r="L146" i="1"/>
  <c r="L147" i="1"/>
  <c r="L113" i="1"/>
  <c r="L133" i="1"/>
  <c r="L131" i="1"/>
  <c r="L173" i="1"/>
  <c r="L129" i="1"/>
  <c r="L134" i="1"/>
  <c r="L154" i="1"/>
  <c r="L152" i="1"/>
  <c r="L153" i="1"/>
  <c r="L155" i="1"/>
  <c r="L135" i="1"/>
  <c r="L159" i="1"/>
  <c r="L148" i="1"/>
  <c r="L149" i="1"/>
  <c r="L69" i="1"/>
  <c r="L150" i="1"/>
  <c r="L71" i="1"/>
  <c r="L123" i="1"/>
  <c r="L122" i="1"/>
  <c r="L163" i="1"/>
  <c r="L164" i="1"/>
  <c r="L160" i="1"/>
  <c r="L161" i="1"/>
  <c r="L162" i="1"/>
  <c r="L151" i="1"/>
  <c r="L47" i="1"/>
  <c r="L137" i="1"/>
  <c r="L138" i="1"/>
  <c r="L139" i="1"/>
  <c r="L140" i="1"/>
  <c r="L141" i="1"/>
  <c r="L142" i="1"/>
  <c r="L124" i="1"/>
  <c r="L125" i="1"/>
  <c r="L126" i="1"/>
  <c r="L165" i="1"/>
  <c r="L127" i="1"/>
  <c r="L170" i="1"/>
  <c r="L172" i="1"/>
  <c r="L61" i="1"/>
  <c r="L62" i="1"/>
  <c r="L57" i="1"/>
  <c r="L128" i="1"/>
  <c r="L58" i="1"/>
  <c r="L178" i="1"/>
  <c r="L179" i="1"/>
  <c r="L181" i="1"/>
  <c r="L14" i="1"/>
  <c r="L175" i="1"/>
  <c r="L19" i="1"/>
  <c r="L136" i="1"/>
  <c r="L21" i="1"/>
  <c r="L52" i="1"/>
  <c r="L23" i="1"/>
  <c r="L25" i="1"/>
  <c r="L10" i="1"/>
  <c r="L28" i="1"/>
  <c r="L29" i="1"/>
  <c r="L30" i="1"/>
  <c r="L31" i="1"/>
  <c r="L33" i="1"/>
  <c r="L176" i="1"/>
  <c r="L100" i="1"/>
  <c r="L36" i="1"/>
  <c r="L158" i="1"/>
  <c r="L38" i="1"/>
  <c r="L41" i="1"/>
  <c r="L42" i="1"/>
  <c r="L43" i="1"/>
  <c r="L44" i="1"/>
  <c r="L46" i="1"/>
  <c r="L49" i="1"/>
  <c r="L50" i="1"/>
  <c r="A29" i="5" l="1"/>
  <c r="A23" i="5"/>
  <c r="A33" i="5"/>
  <c r="A21" i="5"/>
  <c r="A31" i="5"/>
  <c r="A19" i="5"/>
  <c r="A12" i="5"/>
  <c r="A17" i="5"/>
  <c r="A4" i="5"/>
  <c r="A10" i="5"/>
  <c r="B10" i="5" s="1"/>
  <c r="A9" i="5"/>
  <c r="A8" i="5"/>
  <c r="A7" i="5"/>
  <c r="A30" i="5"/>
  <c r="A5" i="5"/>
  <c r="A28" i="5"/>
  <c r="A27" i="5"/>
  <c r="G27" i="5" s="1"/>
  <c r="A14" i="5"/>
  <c r="B14" i="5" s="1"/>
  <c r="A25" i="5"/>
  <c r="B25" i="5" s="1"/>
  <c r="A180" i="5"/>
  <c r="A181" i="5"/>
  <c r="A176" i="5"/>
  <c r="C176" i="5" s="1"/>
  <c r="A131" i="5"/>
  <c r="H131" i="5" s="1"/>
  <c r="A119" i="5"/>
  <c r="C119" i="5" s="1"/>
  <c r="A107" i="5"/>
  <c r="B107" i="5" s="1"/>
  <c r="A95" i="5"/>
  <c r="D95" i="5" s="1"/>
  <c r="A83" i="5"/>
  <c r="H83" i="5" s="1"/>
  <c r="A71" i="5"/>
  <c r="G71" i="5" s="1"/>
  <c r="A59" i="5"/>
  <c r="B59" i="5" s="1"/>
  <c r="A47" i="5"/>
  <c r="D47" i="5" s="1"/>
  <c r="A121" i="5"/>
  <c r="B121" i="5" s="1"/>
  <c r="A109" i="5"/>
  <c r="B109" i="5" s="1"/>
  <c r="A97" i="5"/>
  <c r="B97" i="5" s="1"/>
  <c r="A85" i="5"/>
  <c r="B85" i="5" s="1"/>
  <c r="A73" i="5"/>
  <c r="D73" i="5" s="1"/>
  <c r="A129" i="5"/>
  <c r="K129" i="5" s="1"/>
  <c r="A117" i="5"/>
  <c r="C117" i="5" s="1"/>
  <c r="A93" i="5"/>
  <c r="I93" i="5" s="1"/>
  <c r="A81" i="5"/>
  <c r="B81" i="5" s="1"/>
  <c r="A125" i="5"/>
  <c r="B125" i="5" s="1"/>
  <c r="A113" i="5"/>
  <c r="J113" i="5" s="1"/>
  <c r="A69" i="5"/>
  <c r="B69" i="5" s="1"/>
  <c r="A57" i="5"/>
  <c r="D57" i="5" s="1"/>
  <c r="A65" i="5"/>
  <c r="C65" i="5" s="1"/>
  <c r="A123" i="5"/>
  <c r="A111" i="5"/>
  <c r="C111" i="5" s="1"/>
  <c r="A87" i="5"/>
  <c r="C87" i="5" s="1"/>
  <c r="A75" i="5"/>
  <c r="B75" i="5" s="1"/>
  <c r="A63" i="5"/>
  <c r="B63" i="5" s="1"/>
  <c r="A51" i="5"/>
  <c r="B51" i="5" s="1"/>
  <c r="A53" i="5"/>
  <c r="C53" i="5" s="1"/>
  <c r="A39" i="5"/>
  <c r="G39" i="5" s="1"/>
  <c r="A105" i="5"/>
  <c r="J105" i="5" s="1"/>
  <c r="A41" i="5"/>
  <c r="C41" i="5" s="1"/>
  <c r="A45" i="5"/>
  <c r="B45" i="5" s="1"/>
  <c r="A127" i="5"/>
  <c r="C127" i="5" s="1"/>
  <c r="A115" i="5"/>
  <c r="G115" i="5" s="1"/>
  <c r="A91" i="5"/>
  <c r="D91" i="5" s="1"/>
  <c r="A79" i="5"/>
  <c r="F79" i="5" s="1"/>
  <c r="A67" i="5"/>
  <c r="C67" i="5" s="1"/>
  <c r="A55" i="5"/>
  <c r="A43" i="5"/>
  <c r="J43" i="5" s="1"/>
  <c r="A61" i="5"/>
  <c r="B61" i="5" s="1"/>
  <c r="A49" i="5"/>
  <c r="B49" i="5" s="1"/>
  <c r="A178" i="5"/>
  <c r="F178" i="5" s="1"/>
  <c r="A108" i="5"/>
  <c r="D108" i="5" s="1"/>
  <c r="A96" i="5"/>
  <c r="K96" i="5" s="1"/>
  <c r="A84" i="5"/>
  <c r="C84" i="5" s="1"/>
  <c r="A72" i="5"/>
  <c r="A60" i="5"/>
  <c r="D60" i="5" s="1"/>
  <c r="A48" i="5"/>
  <c r="F48" i="5" s="1"/>
  <c r="A36" i="5"/>
  <c r="D36" i="5" s="1"/>
  <c r="A128" i="5"/>
  <c r="D128" i="5" s="1"/>
  <c r="A116" i="5"/>
  <c r="H116" i="5" s="1"/>
  <c r="A92" i="5"/>
  <c r="C92" i="5" s="1"/>
  <c r="A80" i="5"/>
  <c r="J80" i="5" s="1"/>
  <c r="A68" i="5"/>
  <c r="A56" i="5"/>
  <c r="A44" i="5"/>
  <c r="C44" i="5" s="1"/>
  <c r="A126" i="5"/>
  <c r="F126" i="5" s="1"/>
  <c r="A114" i="5"/>
  <c r="J114" i="5" s="1"/>
  <c r="A102" i="5"/>
  <c r="B102" i="5" s="1"/>
  <c r="A90" i="5"/>
  <c r="B90" i="5" s="1"/>
  <c r="A78" i="5"/>
  <c r="B78" i="5" s="1"/>
  <c r="A66" i="5"/>
  <c r="A54" i="5"/>
  <c r="G54" i="5" s="1"/>
  <c r="A42" i="5"/>
  <c r="J42" i="5" s="1"/>
  <c r="A89" i="5"/>
  <c r="B89" i="5" s="1"/>
  <c r="A124" i="5"/>
  <c r="C124" i="5" s="1"/>
  <c r="A112" i="5"/>
  <c r="C112" i="5" s="1"/>
  <c r="A76" i="5"/>
  <c r="C76" i="5" s="1"/>
  <c r="A64" i="5"/>
  <c r="G64" i="5" s="1"/>
  <c r="A52" i="5"/>
  <c r="F52" i="5" s="1"/>
  <c r="A40" i="5"/>
  <c r="C40" i="5" s="1"/>
  <c r="A99" i="5"/>
  <c r="C99" i="5" s="1"/>
  <c r="A122" i="5"/>
  <c r="I122" i="5" s="1"/>
  <c r="A110" i="5"/>
  <c r="B110" i="5" s="1"/>
  <c r="A86" i="5"/>
  <c r="K86" i="5" s="1"/>
  <c r="A74" i="5"/>
  <c r="C74" i="5" s="1"/>
  <c r="A62" i="5"/>
  <c r="K62" i="5" s="1"/>
  <c r="A50" i="5"/>
  <c r="C50" i="5" s="1"/>
  <c r="A38" i="5"/>
  <c r="A177" i="5"/>
  <c r="K177" i="5" s="1"/>
  <c r="A120" i="5"/>
  <c r="F120" i="5" s="1"/>
  <c r="A175" i="5"/>
  <c r="B175" i="5" s="1"/>
  <c r="A35" i="5"/>
  <c r="B35" i="5" s="1"/>
  <c r="A130" i="5"/>
  <c r="B130" i="5" s="1"/>
  <c r="A118" i="5"/>
  <c r="D118" i="5" s="1"/>
  <c r="A106" i="5"/>
  <c r="H106" i="5" s="1"/>
  <c r="A94" i="5"/>
  <c r="K94" i="5" s="1"/>
  <c r="A82" i="5"/>
  <c r="H82" i="5" s="1"/>
  <c r="A70" i="5"/>
  <c r="B70" i="5" s="1"/>
  <c r="A58" i="5"/>
  <c r="C58" i="5" s="1"/>
  <c r="A46" i="5"/>
  <c r="D46" i="5" s="1"/>
  <c r="A34" i="5"/>
  <c r="K34" i="5" s="1"/>
  <c r="A179" i="5"/>
  <c r="B179" i="5" s="1"/>
  <c r="A142" i="5"/>
  <c r="D142" i="5" s="1"/>
  <c r="A141" i="5"/>
  <c r="B141" i="5" s="1"/>
  <c r="A171" i="5"/>
  <c r="B171" i="5" s="1"/>
  <c r="A165" i="5"/>
  <c r="G165" i="5" s="1"/>
  <c r="A140" i="5"/>
  <c r="K140" i="5" s="1"/>
  <c r="A172" i="5"/>
  <c r="K172" i="5" s="1"/>
  <c r="A173" i="5"/>
  <c r="B173" i="5" s="1"/>
  <c r="A174" i="5"/>
  <c r="B3" i="5"/>
  <c r="A160" i="5"/>
  <c r="B160" i="5" s="1"/>
  <c r="A167" i="5"/>
  <c r="B167" i="5" s="1"/>
  <c r="A157" i="5"/>
  <c r="B157" i="5" s="1"/>
  <c r="A148" i="5"/>
  <c r="J148" i="5" s="1"/>
  <c r="A145" i="5"/>
  <c r="B145" i="5" s="1"/>
  <c r="A164" i="5"/>
  <c r="J164" i="5" s="1"/>
  <c r="A104" i="5"/>
  <c r="C104" i="5" s="1"/>
  <c r="A169" i="5"/>
  <c r="B169" i="5" s="1"/>
  <c r="A133" i="5"/>
  <c r="B133" i="5" s="1"/>
  <c r="A156" i="5"/>
  <c r="D156" i="5" s="1"/>
  <c r="A155" i="5"/>
  <c r="B155" i="5" s="1"/>
  <c r="A152" i="5"/>
  <c r="C152" i="5" s="1"/>
  <c r="A163" i="5"/>
  <c r="F163" i="5" s="1"/>
  <c r="A151" i="5"/>
  <c r="D151" i="5" s="1"/>
  <c r="A150" i="5"/>
  <c r="H150" i="5" s="1"/>
  <c r="A100" i="5"/>
  <c r="C100" i="5" s="1"/>
  <c r="A136" i="5"/>
  <c r="D136" i="5" s="1"/>
  <c r="A147" i="5"/>
  <c r="B147" i="5" s="1"/>
  <c r="A135" i="5"/>
  <c r="B135" i="5" s="1"/>
  <c r="A146" i="5"/>
  <c r="B146" i="5" s="1"/>
  <c r="A134" i="5"/>
  <c r="B134" i="5" s="1"/>
  <c r="A166" i="5"/>
  <c r="D166" i="5" s="1"/>
  <c r="A153" i="5"/>
  <c r="F153" i="5" s="1"/>
  <c r="A103" i="5"/>
  <c r="I103" i="5" s="1"/>
  <c r="A139" i="5"/>
  <c r="J139" i="5" s="1"/>
  <c r="A162" i="5"/>
  <c r="C162" i="5" s="1"/>
  <c r="A138" i="5"/>
  <c r="J138" i="5" s="1"/>
  <c r="A161" i="5"/>
  <c r="I161" i="5" s="1"/>
  <c r="A149" i="5"/>
  <c r="B149" i="5" s="1"/>
  <c r="A137" i="5"/>
  <c r="B137" i="5" s="1"/>
  <c r="A101" i="5"/>
  <c r="G101" i="5" s="1"/>
  <c r="A77" i="5"/>
  <c r="C77" i="5" s="1"/>
  <c r="A88" i="5"/>
  <c r="B88" i="5" s="1"/>
  <c r="A159" i="5"/>
  <c r="C159" i="5" s="1"/>
  <c r="A170" i="5"/>
  <c r="B170" i="5" s="1"/>
  <c r="A158" i="5"/>
  <c r="B158" i="5" s="1"/>
  <c r="A98" i="5"/>
  <c r="B98" i="5" s="1"/>
  <c r="A37" i="5"/>
  <c r="H37" i="5" s="1"/>
  <c r="A168" i="5"/>
  <c r="F168" i="5" s="1"/>
  <c r="A144" i="5"/>
  <c r="F144" i="5" s="1"/>
  <c r="A132" i="5"/>
  <c r="G132" i="5" s="1"/>
  <c r="A143" i="5"/>
  <c r="D143" i="5" s="1"/>
  <c r="A154" i="5"/>
  <c r="D154" i="5" s="1"/>
  <c r="B13" i="5"/>
  <c r="B22" i="5"/>
  <c r="B27" i="5"/>
  <c r="B15" i="5"/>
  <c r="C15" i="5"/>
  <c r="B467" i="5"/>
  <c r="B404" i="5"/>
  <c r="B297" i="5"/>
  <c r="B188" i="5"/>
  <c r="C375" i="5"/>
  <c r="C339" i="5"/>
  <c r="C255" i="5"/>
  <c r="B26" i="5"/>
  <c r="C191" i="5"/>
  <c r="B459" i="5"/>
  <c r="B393" i="5"/>
  <c r="B284" i="5"/>
  <c r="B500" i="5"/>
  <c r="B458" i="5"/>
  <c r="B388" i="5"/>
  <c r="B279" i="5"/>
  <c r="C485" i="5"/>
  <c r="F24" i="5"/>
  <c r="B24" i="5"/>
  <c r="D12" i="5"/>
  <c r="C12" i="5"/>
  <c r="B12" i="5"/>
  <c r="B493" i="5"/>
  <c r="B455" i="5"/>
  <c r="B375" i="5"/>
  <c r="B265" i="5"/>
  <c r="C460" i="5"/>
  <c r="D23" i="5"/>
  <c r="B23" i="5"/>
  <c r="D11" i="5"/>
  <c r="B11" i="5"/>
  <c r="B491" i="5"/>
  <c r="B450" i="5"/>
  <c r="B371" i="5"/>
  <c r="B260" i="5"/>
  <c r="C425" i="5"/>
  <c r="C335" i="5"/>
  <c r="D22" i="5"/>
  <c r="B489" i="5"/>
  <c r="B443" i="5"/>
  <c r="B357" i="5"/>
  <c r="B246" i="5"/>
  <c r="C393" i="5"/>
  <c r="C19" i="5"/>
  <c r="B490" i="5"/>
  <c r="B478" i="5"/>
  <c r="B466" i="5"/>
  <c r="C454" i="5"/>
  <c r="C442" i="5"/>
  <c r="B430" i="5"/>
  <c r="B418" i="5"/>
  <c r="C406" i="5"/>
  <c r="C394" i="5"/>
  <c r="C382" i="5"/>
  <c r="B382" i="5"/>
  <c r="C370" i="5"/>
  <c r="B370" i="5"/>
  <c r="B358" i="5"/>
  <c r="B346" i="5"/>
  <c r="B334" i="5"/>
  <c r="C334" i="5"/>
  <c r="D322" i="5"/>
  <c r="D310" i="5"/>
  <c r="D298" i="5"/>
  <c r="D286" i="5"/>
  <c r="C286" i="5"/>
  <c r="D274" i="5"/>
  <c r="D262" i="5"/>
  <c r="D250" i="5"/>
  <c r="D238" i="5"/>
  <c r="D226" i="5"/>
  <c r="D214" i="5"/>
  <c r="D202" i="5"/>
  <c r="D190" i="5"/>
  <c r="C129" i="5"/>
  <c r="C33" i="5"/>
  <c r="B33" i="5"/>
  <c r="C21" i="5"/>
  <c r="B21" i="5"/>
  <c r="D9" i="5"/>
  <c r="C9" i="5"/>
  <c r="B9" i="5"/>
  <c r="B488" i="5"/>
  <c r="B441" i="5"/>
  <c r="B353" i="5"/>
  <c r="B243" i="5"/>
  <c r="C363" i="5"/>
  <c r="C3" i="5"/>
  <c r="C465" i="5"/>
  <c r="B128" i="5"/>
  <c r="B32" i="5"/>
  <c r="C32" i="5"/>
  <c r="C20" i="5"/>
  <c r="B20" i="5"/>
  <c r="D8" i="5"/>
  <c r="C8" i="5"/>
  <c r="B8" i="5"/>
  <c r="B483" i="5"/>
  <c r="B436" i="5"/>
  <c r="B340" i="5"/>
  <c r="B229" i="5"/>
  <c r="C332" i="5"/>
  <c r="C464" i="5"/>
  <c r="C308" i="5"/>
  <c r="D31" i="5"/>
  <c r="B31" i="5"/>
  <c r="F19" i="5"/>
  <c r="B19" i="5"/>
  <c r="D7" i="5"/>
  <c r="B7" i="5"/>
  <c r="C7" i="5"/>
  <c r="B474" i="5"/>
  <c r="B433" i="5"/>
  <c r="B337" i="5"/>
  <c r="B224" i="5"/>
  <c r="C303" i="5"/>
  <c r="D42" i="5"/>
  <c r="B30" i="5"/>
  <c r="C30" i="5"/>
  <c r="B18" i="5"/>
  <c r="C18" i="5"/>
  <c r="D6" i="5"/>
  <c r="B6" i="5"/>
  <c r="C6" i="5"/>
  <c r="B473" i="5"/>
  <c r="B424" i="5"/>
  <c r="B321" i="5"/>
  <c r="B209" i="5"/>
  <c r="C270" i="5"/>
  <c r="C498" i="5"/>
  <c r="C306" i="5"/>
  <c r="C282" i="5"/>
  <c r="C186" i="5"/>
  <c r="C29" i="5"/>
  <c r="B29" i="5"/>
  <c r="C17" i="5"/>
  <c r="B17" i="5"/>
  <c r="B5" i="5"/>
  <c r="C5" i="5"/>
  <c r="B472" i="5"/>
  <c r="B421" i="5"/>
  <c r="B316" i="5"/>
  <c r="B206" i="5"/>
  <c r="C243" i="5"/>
  <c r="C437" i="5"/>
  <c r="C401" i="5"/>
  <c r="C281" i="5"/>
  <c r="C221" i="5"/>
  <c r="B28" i="5"/>
  <c r="C28" i="5"/>
  <c r="B16" i="5"/>
  <c r="C16" i="5"/>
  <c r="B4" i="5"/>
  <c r="C4" i="5"/>
  <c r="B471" i="5"/>
  <c r="B409" i="5"/>
  <c r="B303" i="5"/>
  <c r="B193" i="5"/>
  <c r="C210" i="5"/>
  <c r="C496" i="5"/>
  <c r="C436" i="5"/>
  <c r="C400" i="5"/>
  <c r="C376" i="5"/>
  <c r="C256" i="5"/>
  <c r="C220" i="5"/>
  <c r="B494" i="5"/>
  <c r="B476" i="5"/>
  <c r="B460" i="5"/>
  <c r="B445" i="5"/>
  <c r="B425" i="5"/>
  <c r="B410" i="5"/>
  <c r="B395" i="5"/>
  <c r="B376" i="5"/>
  <c r="B359" i="5"/>
  <c r="B341" i="5"/>
  <c r="B323" i="5"/>
  <c r="B304" i="5"/>
  <c r="B287" i="5"/>
  <c r="B266" i="5"/>
  <c r="B248" i="5"/>
  <c r="B230" i="5"/>
  <c r="B210" i="5"/>
  <c r="B194" i="5"/>
  <c r="C188" i="5"/>
  <c r="B423" i="5"/>
  <c r="B407" i="5"/>
  <c r="B390" i="5"/>
  <c r="B374" i="5"/>
  <c r="B356" i="5"/>
  <c r="B339" i="5"/>
  <c r="B320" i="5"/>
  <c r="B302" i="5"/>
  <c r="B281" i="5"/>
  <c r="B263" i="5"/>
  <c r="B245" i="5"/>
  <c r="B227" i="5"/>
  <c r="B208" i="5"/>
  <c r="B191" i="5"/>
  <c r="C489" i="5"/>
  <c r="C462" i="5"/>
  <c r="C435" i="5"/>
  <c r="C399" i="5"/>
  <c r="C368" i="5"/>
  <c r="C305" i="5"/>
  <c r="C280" i="5"/>
  <c r="C245" i="5"/>
  <c r="C219" i="5"/>
  <c r="C184" i="5"/>
  <c r="B492" i="5"/>
  <c r="B480" i="5"/>
  <c r="C468" i="5"/>
  <c r="C456" i="5"/>
  <c r="C444" i="5"/>
  <c r="B432" i="5"/>
  <c r="B420" i="5"/>
  <c r="B408" i="5"/>
  <c r="C396" i="5"/>
  <c r="B384" i="5"/>
  <c r="B372" i="5"/>
  <c r="B360" i="5"/>
  <c r="B348" i="5"/>
  <c r="C336" i="5"/>
  <c r="C324" i="5"/>
  <c r="F312" i="5"/>
  <c r="D300" i="5"/>
  <c r="D288" i="5"/>
  <c r="F276" i="5"/>
  <c r="D264" i="5"/>
  <c r="F252" i="5"/>
  <c r="D240" i="5"/>
  <c r="G228" i="5"/>
  <c r="D216" i="5"/>
  <c r="D204" i="5"/>
  <c r="F192" i="5"/>
  <c r="D180" i="5"/>
  <c r="B457" i="5"/>
  <c r="B438" i="5"/>
  <c r="B422" i="5"/>
  <c r="B405" i="5"/>
  <c r="B389" i="5"/>
  <c r="B373" i="5"/>
  <c r="B354" i="5"/>
  <c r="B338" i="5"/>
  <c r="B318" i="5"/>
  <c r="B301" i="5"/>
  <c r="B280" i="5"/>
  <c r="B261" i="5"/>
  <c r="B244" i="5"/>
  <c r="B225" i="5"/>
  <c r="B207" i="5"/>
  <c r="B189" i="5"/>
  <c r="C486" i="5"/>
  <c r="C461" i="5"/>
  <c r="C426" i="5"/>
  <c r="C395" i="5"/>
  <c r="C364" i="5"/>
  <c r="C333" i="5"/>
  <c r="C304" i="5"/>
  <c r="C273" i="5"/>
  <c r="C244" i="5"/>
  <c r="C212" i="5"/>
  <c r="C491" i="5"/>
  <c r="C467" i="5"/>
  <c r="C455" i="5"/>
  <c r="C431" i="5"/>
  <c r="C407" i="5"/>
  <c r="C371" i="5"/>
  <c r="C359" i="5"/>
  <c r="B347" i="5"/>
  <c r="C323" i="5"/>
  <c r="C311" i="5"/>
  <c r="C299" i="5"/>
  <c r="C275" i="5"/>
  <c r="C263" i="5"/>
  <c r="C251" i="5"/>
  <c r="C239" i="5"/>
  <c r="C203" i="5"/>
  <c r="B486" i="5"/>
  <c r="B470" i="5"/>
  <c r="B453" i="5"/>
  <c r="B435" i="5"/>
  <c r="B419" i="5"/>
  <c r="B402" i="5"/>
  <c r="B387" i="5"/>
  <c r="B352" i="5"/>
  <c r="B335" i="5"/>
  <c r="B314" i="5"/>
  <c r="B296" i="5"/>
  <c r="B278" i="5"/>
  <c r="B258" i="5"/>
  <c r="B242" i="5"/>
  <c r="B222" i="5"/>
  <c r="B205" i="5"/>
  <c r="B187" i="5"/>
  <c r="C484" i="5"/>
  <c r="C459" i="5"/>
  <c r="C424" i="5"/>
  <c r="C390" i="5"/>
  <c r="C357" i="5"/>
  <c r="C330" i="5"/>
  <c r="C296" i="5"/>
  <c r="C269" i="5"/>
  <c r="C237" i="5"/>
  <c r="C208" i="5"/>
  <c r="A2" i="5"/>
  <c r="F2" i="5" s="1"/>
  <c r="C441" i="5"/>
  <c r="C429" i="5"/>
  <c r="C417" i="5"/>
  <c r="C369" i="5"/>
  <c r="C345" i="5"/>
  <c r="B333" i="5"/>
  <c r="C321" i="5"/>
  <c r="C297" i="5"/>
  <c r="B285" i="5"/>
  <c r="C249" i="5"/>
  <c r="B237" i="5"/>
  <c r="C225" i="5"/>
  <c r="C213" i="5"/>
  <c r="C201" i="5"/>
  <c r="C189" i="5"/>
  <c r="B484" i="5"/>
  <c r="B469" i="5"/>
  <c r="B452" i="5"/>
  <c r="B434" i="5"/>
  <c r="B417" i="5"/>
  <c r="B401" i="5"/>
  <c r="B386" i="5"/>
  <c r="B369" i="5"/>
  <c r="B351" i="5"/>
  <c r="B332" i="5"/>
  <c r="B313" i="5"/>
  <c r="B294" i="5"/>
  <c r="B277" i="5"/>
  <c r="B257" i="5"/>
  <c r="B241" i="5"/>
  <c r="B220" i="5"/>
  <c r="B201" i="5"/>
  <c r="B186" i="5"/>
  <c r="C483" i="5"/>
  <c r="C453" i="5"/>
  <c r="C423" i="5"/>
  <c r="C388" i="5"/>
  <c r="C356" i="5"/>
  <c r="C329" i="5"/>
  <c r="C292" i="5"/>
  <c r="C268" i="5"/>
  <c r="C236" i="5"/>
  <c r="C200" i="5"/>
  <c r="C500" i="5"/>
  <c r="C488" i="5"/>
  <c r="C476" i="5"/>
  <c r="C452" i="5"/>
  <c r="B440" i="5"/>
  <c r="C428" i="5"/>
  <c r="C392" i="5"/>
  <c r="B380" i="5"/>
  <c r="C272" i="5"/>
  <c r="C260" i="5"/>
  <c r="C248" i="5"/>
  <c r="B416" i="5"/>
  <c r="B400" i="5"/>
  <c r="B385" i="5"/>
  <c r="B368" i="5"/>
  <c r="B350" i="5"/>
  <c r="B329" i="5"/>
  <c r="B311" i="5"/>
  <c r="B293" i="5"/>
  <c r="B275" i="5"/>
  <c r="B256" i="5"/>
  <c r="B239" i="5"/>
  <c r="B218" i="5"/>
  <c r="B200" i="5"/>
  <c r="B185" i="5"/>
  <c r="C479" i="5"/>
  <c r="C448" i="5"/>
  <c r="C419" i="5"/>
  <c r="C383" i="5"/>
  <c r="C353" i="5"/>
  <c r="C328" i="5"/>
  <c r="C291" i="5"/>
  <c r="C267" i="5"/>
  <c r="C234" i="5"/>
  <c r="C198" i="5"/>
  <c r="B499" i="5"/>
  <c r="B487" i="5"/>
  <c r="C475" i="5"/>
  <c r="C463" i="5"/>
  <c r="B451" i="5"/>
  <c r="B439" i="5"/>
  <c r="B427" i="5"/>
  <c r="B415" i="5"/>
  <c r="C403" i="5"/>
  <c r="C391" i="5"/>
  <c r="B379" i="5"/>
  <c r="B367" i="5"/>
  <c r="B355" i="5"/>
  <c r="B343" i="5"/>
  <c r="C331" i="5"/>
  <c r="C319" i="5"/>
  <c r="B307" i="5"/>
  <c r="B295" i="5"/>
  <c r="B283" i="5"/>
  <c r="B271" i="5"/>
  <c r="F259" i="5"/>
  <c r="D247" i="5"/>
  <c r="D235" i="5"/>
  <c r="F223" i="5"/>
  <c r="G211" i="5"/>
  <c r="F199" i="5"/>
  <c r="D187" i="5"/>
  <c r="B498" i="5"/>
  <c r="B482" i="5"/>
  <c r="B465" i="5"/>
  <c r="B449" i="5"/>
  <c r="B431" i="5"/>
  <c r="B414" i="5"/>
  <c r="B399" i="5"/>
  <c r="B383" i="5"/>
  <c r="B366" i="5"/>
  <c r="B349" i="5"/>
  <c r="B328" i="5"/>
  <c r="B309" i="5"/>
  <c r="B292" i="5"/>
  <c r="B273" i="5"/>
  <c r="B255" i="5"/>
  <c r="B236" i="5"/>
  <c r="B217" i="5"/>
  <c r="B198" i="5"/>
  <c r="B184" i="5"/>
  <c r="C477" i="5"/>
  <c r="C447" i="5"/>
  <c r="C416" i="5"/>
  <c r="C381" i="5"/>
  <c r="C352" i="5"/>
  <c r="C320" i="5"/>
  <c r="C287" i="5"/>
  <c r="C261" i="5"/>
  <c r="C233" i="5"/>
  <c r="C197" i="5"/>
  <c r="C450" i="5"/>
  <c r="C414" i="5"/>
  <c r="C402" i="5"/>
  <c r="C366" i="5"/>
  <c r="C354" i="5"/>
  <c r="C342" i="5"/>
  <c r="B330" i="5"/>
  <c r="C318" i="5"/>
  <c r="C294" i="5"/>
  <c r="B282" i="5"/>
  <c r="C246" i="5"/>
  <c r="B234" i="5"/>
  <c r="B497" i="5"/>
  <c r="B481" i="5"/>
  <c r="B464" i="5"/>
  <c r="B448" i="5"/>
  <c r="B429" i="5"/>
  <c r="B413" i="5"/>
  <c r="B398" i="5"/>
  <c r="B364" i="5"/>
  <c r="B345" i="5"/>
  <c r="B327" i="5"/>
  <c r="B308" i="5"/>
  <c r="B291" i="5"/>
  <c r="B272" i="5"/>
  <c r="B254" i="5"/>
  <c r="B233" i="5"/>
  <c r="B215" i="5"/>
  <c r="B197" i="5"/>
  <c r="B183" i="5"/>
  <c r="C474" i="5"/>
  <c r="C443" i="5"/>
  <c r="C412" i="5"/>
  <c r="C380" i="5"/>
  <c r="C351" i="5"/>
  <c r="C316" i="5"/>
  <c r="C259" i="5"/>
  <c r="C232" i="5"/>
  <c r="C196" i="5"/>
  <c r="C497" i="5"/>
  <c r="B485" i="5"/>
  <c r="C473" i="5"/>
  <c r="C449" i="5"/>
  <c r="B437" i="5"/>
  <c r="C413" i="5"/>
  <c r="C389" i="5"/>
  <c r="B377" i="5"/>
  <c r="C365" i="5"/>
  <c r="C341" i="5"/>
  <c r="C317" i="5"/>
  <c r="C293" i="5"/>
  <c r="B269" i="5"/>
  <c r="B221" i="5"/>
  <c r="C209" i="5"/>
  <c r="C185" i="5"/>
  <c r="B496" i="5"/>
  <c r="B479" i="5"/>
  <c r="B462" i="5"/>
  <c r="B447" i="5"/>
  <c r="B428" i="5"/>
  <c r="B412" i="5"/>
  <c r="B397" i="5"/>
  <c r="B381" i="5"/>
  <c r="B362" i="5"/>
  <c r="B344" i="5"/>
  <c r="B326" i="5"/>
  <c r="B306" i="5"/>
  <c r="B290" i="5"/>
  <c r="B270" i="5"/>
  <c r="B253" i="5"/>
  <c r="B232" i="5"/>
  <c r="B213" i="5"/>
  <c r="B196" i="5"/>
  <c r="B182" i="5"/>
  <c r="C472" i="5"/>
  <c r="C440" i="5"/>
  <c r="C405" i="5"/>
  <c r="C378" i="5"/>
  <c r="C344" i="5"/>
  <c r="C315" i="5"/>
  <c r="C285" i="5"/>
  <c r="C258" i="5"/>
  <c r="C224" i="5"/>
  <c r="C195" i="5"/>
  <c r="H196" i="5"/>
  <c r="B495" i="5"/>
  <c r="B477" i="5"/>
  <c r="B461" i="5"/>
  <c r="B446" i="5"/>
  <c r="B426" i="5"/>
  <c r="B411" i="5"/>
  <c r="B396" i="5"/>
  <c r="B378" i="5"/>
  <c r="B361" i="5"/>
  <c r="B342" i="5"/>
  <c r="B325" i="5"/>
  <c r="B305" i="5"/>
  <c r="B289" i="5"/>
  <c r="B268" i="5"/>
  <c r="B249" i="5"/>
  <c r="B231" i="5"/>
  <c r="B212" i="5"/>
  <c r="B195" i="5"/>
  <c r="B181" i="5"/>
  <c r="C471" i="5"/>
  <c r="C438" i="5"/>
  <c r="C404" i="5"/>
  <c r="C377" i="5"/>
  <c r="C340" i="5"/>
  <c r="C309" i="5"/>
  <c r="C284" i="5"/>
  <c r="C257" i="5"/>
  <c r="C222" i="5"/>
  <c r="C495" i="5"/>
  <c r="C411" i="5"/>
  <c r="C387" i="5"/>
  <c r="B363" i="5"/>
  <c r="C327" i="5"/>
  <c r="B315" i="5"/>
  <c r="C279" i="5"/>
  <c r="B267" i="5"/>
  <c r="F255" i="5"/>
  <c r="C231" i="5"/>
  <c r="B219" i="5"/>
  <c r="C207" i="5"/>
  <c r="F195" i="5"/>
  <c r="C183" i="5"/>
  <c r="C347" i="5"/>
  <c r="B394" i="5"/>
  <c r="B365" i="5"/>
  <c r="B317" i="5"/>
  <c r="B192" i="5"/>
  <c r="B180" i="5"/>
  <c r="C31" i="5"/>
  <c r="C430" i="5"/>
  <c r="C228" i="5"/>
  <c r="C499" i="5"/>
  <c r="C415" i="5"/>
  <c r="B392" i="5"/>
  <c r="B299" i="5"/>
  <c r="B251" i="5"/>
  <c r="B203" i="5"/>
  <c r="B190" i="5"/>
  <c r="B82" i="5"/>
  <c r="C226" i="5"/>
  <c r="C384" i="5"/>
  <c r="C271" i="5"/>
  <c r="C180" i="5"/>
  <c r="C211" i="5"/>
  <c r="C427" i="5"/>
  <c r="B199" i="5"/>
  <c r="C487" i="5"/>
  <c r="C466" i="5"/>
  <c r="C298" i="5"/>
  <c r="C283" i="5"/>
  <c r="C238" i="5"/>
  <c r="C223" i="5"/>
  <c r="C192" i="5"/>
  <c r="B216" i="5"/>
  <c r="B240" i="5"/>
  <c r="C480" i="5"/>
  <c r="B250" i="5"/>
  <c r="B226" i="5"/>
  <c r="B202" i="5"/>
  <c r="C478" i="5"/>
  <c r="B444" i="5"/>
  <c r="B312" i="5"/>
  <c r="B286" i="5"/>
  <c r="C312" i="5"/>
  <c r="B468" i="5"/>
  <c r="B442" i="5"/>
  <c r="B324" i="5"/>
  <c r="B298" i="5"/>
  <c r="B259" i="5"/>
  <c r="B247" i="5"/>
  <c r="B235" i="5"/>
  <c r="B223" i="5"/>
  <c r="B211" i="5"/>
  <c r="C408" i="5"/>
  <c r="C343" i="5"/>
  <c r="C250" i="5"/>
  <c r="C204" i="5"/>
  <c r="C190" i="5"/>
  <c r="C175" i="5"/>
  <c r="C143" i="5"/>
  <c r="C11" i="5"/>
  <c r="B276" i="5"/>
  <c r="C300" i="5"/>
  <c r="B406" i="5"/>
  <c r="B288" i="5"/>
  <c r="B262" i="5"/>
  <c r="B238" i="5"/>
  <c r="B214" i="5"/>
  <c r="B300" i="5"/>
  <c r="B274" i="5"/>
  <c r="B456" i="5"/>
  <c r="C252" i="5"/>
  <c r="B454" i="5"/>
  <c r="B336" i="5"/>
  <c r="B310" i="5"/>
  <c r="C358" i="5"/>
  <c r="C310" i="5"/>
  <c r="C264" i="5"/>
  <c r="C235" i="5"/>
  <c r="C42" i="5"/>
  <c r="C202" i="5"/>
  <c r="C372" i="5"/>
  <c r="C276" i="5"/>
  <c r="C262" i="5"/>
  <c r="C247" i="5"/>
  <c r="C216" i="5"/>
  <c r="C187" i="5"/>
  <c r="C82" i="5"/>
  <c r="C24" i="5"/>
  <c r="B264" i="5"/>
  <c r="B228" i="5"/>
  <c r="B204" i="5"/>
  <c r="C355" i="5"/>
  <c r="C322" i="5"/>
  <c r="C214" i="5"/>
  <c r="C23" i="5"/>
  <c r="B252" i="5"/>
  <c r="C240" i="5"/>
  <c r="B322" i="5"/>
  <c r="C288" i="5"/>
  <c r="C274" i="5"/>
  <c r="C199" i="5"/>
  <c r="C22" i="5"/>
  <c r="C439" i="5"/>
  <c r="C367" i="5"/>
  <c r="C295" i="5"/>
  <c r="C494" i="5"/>
  <c r="K494" i="5"/>
  <c r="I494" i="5"/>
  <c r="H494" i="5"/>
  <c r="J494" i="5"/>
  <c r="D494" i="5"/>
  <c r="F494" i="5"/>
  <c r="G494" i="5"/>
  <c r="C482" i="5"/>
  <c r="K482" i="5"/>
  <c r="J482" i="5"/>
  <c r="I482" i="5"/>
  <c r="H482" i="5"/>
  <c r="D482" i="5"/>
  <c r="F482" i="5"/>
  <c r="G482" i="5"/>
  <c r="C470" i="5"/>
  <c r="K470" i="5"/>
  <c r="J470" i="5"/>
  <c r="I470" i="5"/>
  <c r="H470" i="5"/>
  <c r="D470" i="5"/>
  <c r="G470" i="5"/>
  <c r="F470" i="5"/>
  <c r="C458" i="5"/>
  <c r="K458" i="5"/>
  <c r="I458" i="5"/>
  <c r="J458" i="5"/>
  <c r="H458" i="5"/>
  <c r="D458" i="5"/>
  <c r="G458" i="5"/>
  <c r="F458" i="5"/>
  <c r="C446" i="5"/>
  <c r="K446" i="5"/>
  <c r="J446" i="5"/>
  <c r="I446" i="5"/>
  <c r="H446" i="5"/>
  <c r="D446" i="5"/>
  <c r="G446" i="5"/>
  <c r="F446" i="5"/>
  <c r="C434" i="5"/>
  <c r="K434" i="5"/>
  <c r="J434" i="5"/>
  <c r="I434" i="5"/>
  <c r="G434" i="5"/>
  <c r="D434" i="5"/>
  <c r="H434" i="5"/>
  <c r="F434" i="5"/>
  <c r="C422" i="5"/>
  <c r="K422" i="5"/>
  <c r="J422" i="5"/>
  <c r="I422" i="5"/>
  <c r="H422" i="5"/>
  <c r="D422" i="5"/>
  <c r="F422" i="5"/>
  <c r="G422" i="5"/>
  <c r="C410" i="5"/>
  <c r="K410" i="5"/>
  <c r="J410" i="5"/>
  <c r="I410" i="5"/>
  <c r="H410" i="5"/>
  <c r="D410" i="5"/>
  <c r="F410" i="5"/>
  <c r="G410" i="5"/>
  <c r="C398" i="5"/>
  <c r="K398" i="5"/>
  <c r="J398" i="5"/>
  <c r="I398" i="5"/>
  <c r="H398" i="5"/>
  <c r="D398" i="5"/>
  <c r="G398" i="5"/>
  <c r="F398" i="5"/>
  <c r="C386" i="5"/>
  <c r="K386" i="5"/>
  <c r="J386" i="5"/>
  <c r="I386" i="5"/>
  <c r="H386" i="5"/>
  <c r="F386" i="5"/>
  <c r="D386" i="5"/>
  <c r="G386" i="5"/>
  <c r="C374" i="5"/>
  <c r="K374" i="5"/>
  <c r="J374" i="5"/>
  <c r="I374" i="5"/>
  <c r="F374" i="5"/>
  <c r="D374" i="5"/>
  <c r="G374" i="5"/>
  <c r="H374" i="5"/>
  <c r="C362" i="5"/>
  <c r="K362" i="5"/>
  <c r="J362" i="5"/>
  <c r="I362" i="5"/>
  <c r="H362" i="5"/>
  <c r="F362" i="5"/>
  <c r="G362" i="5"/>
  <c r="D362" i="5"/>
  <c r="C350" i="5"/>
  <c r="K350" i="5"/>
  <c r="J350" i="5"/>
  <c r="I350" i="5"/>
  <c r="H350" i="5"/>
  <c r="F350" i="5"/>
  <c r="D350" i="5"/>
  <c r="G350" i="5"/>
  <c r="C338" i="5"/>
  <c r="K338" i="5"/>
  <c r="J338" i="5"/>
  <c r="I338" i="5"/>
  <c r="F338" i="5"/>
  <c r="H338" i="5"/>
  <c r="D338" i="5"/>
  <c r="G338" i="5"/>
  <c r="C326" i="5"/>
  <c r="K326" i="5"/>
  <c r="I326" i="5"/>
  <c r="G326" i="5"/>
  <c r="H326" i="5"/>
  <c r="F326" i="5"/>
  <c r="J326" i="5"/>
  <c r="D326" i="5"/>
  <c r="C314" i="5"/>
  <c r="K314" i="5"/>
  <c r="J314" i="5"/>
  <c r="I314" i="5"/>
  <c r="G314" i="5"/>
  <c r="F314" i="5"/>
  <c r="H314" i="5"/>
  <c r="D314" i="5"/>
  <c r="C302" i="5"/>
  <c r="K302" i="5"/>
  <c r="J302" i="5"/>
  <c r="I302" i="5"/>
  <c r="H302" i="5"/>
  <c r="F302" i="5"/>
  <c r="G302" i="5"/>
  <c r="D302" i="5"/>
  <c r="C290" i="5"/>
  <c r="K290" i="5"/>
  <c r="J290" i="5"/>
  <c r="I290" i="5"/>
  <c r="F290" i="5"/>
  <c r="D290" i="5"/>
  <c r="G290" i="5"/>
  <c r="H290" i="5"/>
  <c r="C278" i="5"/>
  <c r="K278" i="5"/>
  <c r="J278" i="5"/>
  <c r="I278" i="5"/>
  <c r="G278" i="5"/>
  <c r="F278" i="5"/>
  <c r="H278" i="5"/>
  <c r="D278" i="5"/>
  <c r="C266" i="5"/>
  <c r="K266" i="5"/>
  <c r="J266" i="5"/>
  <c r="I266" i="5"/>
  <c r="H266" i="5"/>
  <c r="G266" i="5"/>
  <c r="F266" i="5"/>
  <c r="D266" i="5"/>
  <c r="C254" i="5"/>
  <c r="K254" i="5"/>
  <c r="I254" i="5"/>
  <c r="H254" i="5"/>
  <c r="F254" i="5"/>
  <c r="J254" i="5"/>
  <c r="G254" i="5"/>
  <c r="D254" i="5"/>
  <c r="C242" i="5"/>
  <c r="K242" i="5"/>
  <c r="J242" i="5"/>
  <c r="I242" i="5"/>
  <c r="H242" i="5"/>
  <c r="F242" i="5"/>
  <c r="D242" i="5"/>
  <c r="G242" i="5"/>
  <c r="C230" i="5"/>
  <c r="K230" i="5"/>
  <c r="J230" i="5"/>
  <c r="I230" i="5"/>
  <c r="H230" i="5"/>
  <c r="G230" i="5"/>
  <c r="F230" i="5"/>
  <c r="D230" i="5"/>
  <c r="C218" i="5"/>
  <c r="K218" i="5"/>
  <c r="J218" i="5"/>
  <c r="H218" i="5"/>
  <c r="I218" i="5"/>
  <c r="G218" i="5"/>
  <c r="F218" i="5"/>
  <c r="D218" i="5"/>
  <c r="C206" i="5"/>
  <c r="K206" i="5"/>
  <c r="J206" i="5"/>
  <c r="I206" i="5"/>
  <c r="H206" i="5"/>
  <c r="F206" i="5"/>
  <c r="G206" i="5"/>
  <c r="D206" i="5"/>
  <c r="C194" i="5"/>
  <c r="K194" i="5"/>
  <c r="J194" i="5"/>
  <c r="H194" i="5"/>
  <c r="F194" i="5"/>
  <c r="D194" i="5"/>
  <c r="G194" i="5"/>
  <c r="I194" i="5"/>
  <c r="C182" i="5"/>
  <c r="K182" i="5"/>
  <c r="J182" i="5"/>
  <c r="I182" i="5"/>
  <c r="H182" i="5"/>
  <c r="G182" i="5"/>
  <c r="F182" i="5"/>
  <c r="D182" i="5"/>
  <c r="C110" i="5"/>
  <c r="K110" i="5"/>
  <c r="I110" i="5"/>
  <c r="J110" i="5"/>
  <c r="C493" i="5"/>
  <c r="J493" i="5"/>
  <c r="I493" i="5"/>
  <c r="K493" i="5"/>
  <c r="H493" i="5"/>
  <c r="G493" i="5"/>
  <c r="D493" i="5"/>
  <c r="F493" i="5"/>
  <c r="C481" i="5"/>
  <c r="K481" i="5"/>
  <c r="J481" i="5"/>
  <c r="H481" i="5"/>
  <c r="I481" i="5"/>
  <c r="G481" i="5"/>
  <c r="D481" i="5"/>
  <c r="F481" i="5"/>
  <c r="C469" i="5"/>
  <c r="K469" i="5"/>
  <c r="J469" i="5"/>
  <c r="H469" i="5"/>
  <c r="I469" i="5"/>
  <c r="G469" i="5"/>
  <c r="D469" i="5"/>
  <c r="F469" i="5"/>
  <c r="C457" i="5"/>
  <c r="K457" i="5"/>
  <c r="I457" i="5"/>
  <c r="J457" i="5"/>
  <c r="H457" i="5"/>
  <c r="G457" i="5"/>
  <c r="D457" i="5"/>
  <c r="F457" i="5"/>
  <c r="C445" i="5"/>
  <c r="K445" i="5"/>
  <c r="J445" i="5"/>
  <c r="H445" i="5"/>
  <c r="I445" i="5"/>
  <c r="G445" i="5"/>
  <c r="D445" i="5"/>
  <c r="F445" i="5"/>
  <c r="C433" i="5"/>
  <c r="J433" i="5"/>
  <c r="K433" i="5"/>
  <c r="H433" i="5"/>
  <c r="I433" i="5"/>
  <c r="G433" i="5"/>
  <c r="D433" i="5"/>
  <c r="F433" i="5"/>
  <c r="C421" i="5"/>
  <c r="K421" i="5"/>
  <c r="J421" i="5"/>
  <c r="I421" i="5"/>
  <c r="H421" i="5"/>
  <c r="G421" i="5"/>
  <c r="D421" i="5"/>
  <c r="F421" i="5"/>
  <c r="C409" i="5"/>
  <c r="J409" i="5"/>
  <c r="K409" i="5"/>
  <c r="H409" i="5"/>
  <c r="G409" i="5"/>
  <c r="D409" i="5"/>
  <c r="F409" i="5"/>
  <c r="I409" i="5"/>
  <c r="C397" i="5"/>
  <c r="K397" i="5"/>
  <c r="J397" i="5"/>
  <c r="H397" i="5"/>
  <c r="I397" i="5"/>
  <c r="G397" i="5"/>
  <c r="D397" i="5"/>
  <c r="F397" i="5"/>
  <c r="C385" i="5"/>
  <c r="K385" i="5"/>
  <c r="I385" i="5"/>
  <c r="J385" i="5"/>
  <c r="H385" i="5"/>
  <c r="G385" i="5"/>
  <c r="D385" i="5"/>
  <c r="F385" i="5"/>
  <c r="C373" i="5"/>
  <c r="J373" i="5"/>
  <c r="K373" i="5"/>
  <c r="H373" i="5"/>
  <c r="I373" i="5"/>
  <c r="G373" i="5"/>
  <c r="D373" i="5"/>
  <c r="F373" i="5"/>
  <c r="C361" i="5"/>
  <c r="J361" i="5"/>
  <c r="K361" i="5"/>
  <c r="I361" i="5"/>
  <c r="H361" i="5"/>
  <c r="F361" i="5"/>
  <c r="G361" i="5"/>
  <c r="D361" i="5"/>
  <c r="C349" i="5"/>
  <c r="K349" i="5"/>
  <c r="J349" i="5"/>
  <c r="I349" i="5"/>
  <c r="H349" i="5"/>
  <c r="F349" i="5"/>
  <c r="G349" i="5"/>
  <c r="D349" i="5"/>
  <c r="C337" i="5"/>
  <c r="K337" i="5"/>
  <c r="H337" i="5"/>
  <c r="I337" i="5"/>
  <c r="F337" i="5"/>
  <c r="G337" i="5"/>
  <c r="D337" i="5"/>
  <c r="J337" i="5"/>
  <c r="C325" i="5"/>
  <c r="K325" i="5"/>
  <c r="J325" i="5"/>
  <c r="I325" i="5"/>
  <c r="H325" i="5"/>
  <c r="G325" i="5"/>
  <c r="F325" i="5"/>
  <c r="D325" i="5"/>
  <c r="C313" i="5"/>
  <c r="J313" i="5"/>
  <c r="K313" i="5"/>
  <c r="I313" i="5"/>
  <c r="H313" i="5"/>
  <c r="G313" i="5"/>
  <c r="F313" i="5"/>
  <c r="D313" i="5"/>
  <c r="C301" i="5"/>
  <c r="K301" i="5"/>
  <c r="J301" i="5"/>
  <c r="H301" i="5"/>
  <c r="F301" i="5"/>
  <c r="G301" i="5"/>
  <c r="I301" i="5"/>
  <c r="D301" i="5"/>
  <c r="C289" i="5"/>
  <c r="J289" i="5"/>
  <c r="K289" i="5"/>
  <c r="I289" i="5"/>
  <c r="H289" i="5"/>
  <c r="F289" i="5"/>
  <c r="G289" i="5"/>
  <c r="D289" i="5"/>
  <c r="C277" i="5"/>
  <c r="K277" i="5"/>
  <c r="J277" i="5"/>
  <c r="I277" i="5"/>
  <c r="H277" i="5"/>
  <c r="G277" i="5"/>
  <c r="F277" i="5"/>
  <c r="D277" i="5"/>
  <c r="C265" i="5"/>
  <c r="J265" i="5"/>
  <c r="H265" i="5"/>
  <c r="K265" i="5"/>
  <c r="G265" i="5"/>
  <c r="F265" i="5"/>
  <c r="I265" i="5"/>
  <c r="D265" i="5"/>
  <c r="C253" i="5"/>
  <c r="K253" i="5"/>
  <c r="J253" i="5"/>
  <c r="I253" i="5"/>
  <c r="F253" i="5"/>
  <c r="G253" i="5"/>
  <c r="H253" i="5"/>
  <c r="D253" i="5"/>
  <c r="C241" i="5"/>
  <c r="K241" i="5"/>
  <c r="J241" i="5"/>
  <c r="I241" i="5"/>
  <c r="H241" i="5"/>
  <c r="F241" i="5"/>
  <c r="G241" i="5"/>
  <c r="D241" i="5"/>
  <c r="C229" i="5"/>
  <c r="J229" i="5"/>
  <c r="K229" i="5"/>
  <c r="H229" i="5"/>
  <c r="G229" i="5"/>
  <c r="I229" i="5"/>
  <c r="F229" i="5"/>
  <c r="D229" i="5"/>
  <c r="C217" i="5"/>
  <c r="J217" i="5"/>
  <c r="K217" i="5"/>
  <c r="I217" i="5"/>
  <c r="G217" i="5"/>
  <c r="F217" i="5"/>
  <c r="H217" i="5"/>
  <c r="D217" i="5"/>
  <c r="C205" i="5"/>
  <c r="K205" i="5"/>
  <c r="J205" i="5"/>
  <c r="I205" i="5"/>
  <c r="H205" i="5"/>
  <c r="F205" i="5"/>
  <c r="G205" i="5"/>
  <c r="D205" i="5"/>
  <c r="C193" i="5"/>
  <c r="K193" i="5"/>
  <c r="I193" i="5"/>
  <c r="J193" i="5"/>
  <c r="H193" i="5"/>
  <c r="F193" i="5"/>
  <c r="G193" i="5"/>
  <c r="D193" i="5"/>
  <c r="C181" i="5"/>
  <c r="K181" i="5"/>
  <c r="J181" i="5"/>
  <c r="H181" i="5"/>
  <c r="G181" i="5"/>
  <c r="F181" i="5"/>
  <c r="I181" i="5"/>
  <c r="D181" i="5"/>
  <c r="K491" i="5"/>
  <c r="J491" i="5"/>
  <c r="I491" i="5"/>
  <c r="G491" i="5"/>
  <c r="F491" i="5"/>
  <c r="H491" i="5"/>
  <c r="D491" i="5"/>
  <c r="K479" i="5"/>
  <c r="J479" i="5"/>
  <c r="I479" i="5"/>
  <c r="H479" i="5"/>
  <c r="G479" i="5"/>
  <c r="F479" i="5"/>
  <c r="D479" i="5"/>
  <c r="K467" i="5"/>
  <c r="J467" i="5"/>
  <c r="I467" i="5"/>
  <c r="H467" i="5"/>
  <c r="G467" i="5"/>
  <c r="F467" i="5"/>
  <c r="D467" i="5"/>
  <c r="K455" i="5"/>
  <c r="J455" i="5"/>
  <c r="I455" i="5"/>
  <c r="G455" i="5"/>
  <c r="H455" i="5"/>
  <c r="F455" i="5"/>
  <c r="D455" i="5"/>
  <c r="K443" i="5"/>
  <c r="J443" i="5"/>
  <c r="I443" i="5"/>
  <c r="H443" i="5"/>
  <c r="G443" i="5"/>
  <c r="F443" i="5"/>
  <c r="D443" i="5"/>
  <c r="K431" i="5"/>
  <c r="I431" i="5"/>
  <c r="J431" i="5"/>
  <c r="G431" i="5"/>
  <c r="H431" i="5"/>
  <c r="F431" i="5"/>
  <c r="D431" i="5"/>
  <c r="K419" i="5"/>
  <c r="J419" i="5"/>
  <c r="I419" i="5"/>
  <c r="H419" i="5"/>
  <c r="G419" i="5"/>
  <c r="F419" i="5"/>
  <c r="D419" i="5"/>
  <c r="K407" i="5"/>
  <c r="J407" i="5"/>
  <c r="I407" i="5"/>
  <c r="H407" i="5"/>
  <c r="G407" i="5"/>
  <c r="F407" i="5"/>
  <c r="D407" i="5"/>
  <c r="K395" i="5"/>
  <c r="J395" i="5"/>
  <c r="I395" i="5"/>
  <c r="H395" i="5"/>
  <c r="G395" i="5"/>
  <c r="F395" i="5"/>
  <c r="D395" i="5"/>
  <c r="K383" i="5"/>
  <c r="J383" i="5"/>
  <c r="I383" i="5"/>
  <c r="H383" i="5"/>
  <c r="F383" i="5"/>
  <c r="G383" i="5"/>
  <c r="D383" i="5"/>
  <c r="K371" i="5"/>
  <c r="J371" i="5"/>
  <c r="I371" i="5"/>
  <c r="F371" i="5"/>
  <c r="G371" i="5"/>
  <c r="H371" i="5"/>
  <c r="D371" i="5"/>
  <c r="K359" i="5"/>
  <c r="I359" i="5"/>
  <c r="J359" i="5"/>
  <c r="F359" i="5"/>
  <c r="H359" i="5"/>
  <c r="G359" i="5"/>
  <c r="D359" i="5"/>
  <c r="K347" i="5"/>
  <c r="J347" i="5"/>
  <c r="I347" i="5"/>
  <c r="F347" i="5"/>
  <c r="G347" i="5"/>
  <c r="H347" i="5"/>
  <c r="D347" i="5"/>
  <c r="K335" i="5"/>
  <c r="J335" i="5"/>
  <c r="I335" i="5"/>
  <c r="F335" i="5"/>
  <c r="H335" i="5"/>
  <c r="G335" i="5"/>
  <c r="D335" i="5"/>
  <c r="K323" i="5"/>
  <c r="J323" i="5"/>
  <c r="I323" i="5"/>
  <c r="H323" i="5"/>
  <c r="F323" i="5"/>
  <c r="G323" i="5"/>
  <c r="D323" i="5"/>
  <c r="K311" i="5"/>
  <c r="I311" i="5"/>
  <c r="G311" i="5"/>
  <c r="F311" i="5"/>
  <c r="J311" i="5"/>
  <c r="H311" i="5"/>
  <c r="D311" i="5"/>
  <c r="K299" i="5"/>
  <c r="I299" i="5"/>
  <c r="J299" i="5"/>
  <c r="F299" i="5"/>
  <c r="H299" i="5"/>
  <c r="G299" i="5"/>
  <c r="D299" i="5"/>
  <c r="K287" i="5"/>
  <c r="J287" i="5"/>
  <c r="I287" i="5"/>
  <c r="F287" i="5"/>
  <c r="G287" i="5"/>
  <c r="H287" i="5"/>
  <c r="D287" i="5"/>
  <c r="K275" i="5"/>
  <c r="I275" i="5"/>
  <c r="J275" i="5"/>
  <c r="H275" i="5"/>
  <c r="F275" i="5"/>
  <c r="G275" i="5"/>
  <c r="D275" i="5"/>
  <c r="K263" i="5"/>
  <c r="J263" i="5"/>
  <c r="I263" i="5"/>
  <c r="H263" i="5"/>
  <c r="G263" i="5"/>
  <c r="F263" i="5"/>
  <c r="D263" i="5"/>
  <c r="K251" i="5"/>
  <c r="I251" i="5"/>
  <c r="J251" i="5"/>
  <c r="F251" i="5"/>
  <c r="G251" i="5"/>
  <c r="H251" i="5"/>
  <c r="D251" i="5"/>
  <c r="K239" i="5"/>
  <c r="J239" i="5"/>
  <c r="I239" i="5"/>
  <c r="F239" i="5"/>
  <c r="H239" i="5"/>
  <c r="G239" i="5"/>
  <c r="D239" i="5"/>
  <c r="K227" i="5"/>
  <c r="J227" i="5"/>
  <c r="I227" i="5"/>
  <c r="H227" i="5"/>
  <c r="F227" i="5"/>
  <c r="G227" i="5"/>
  <c r="D227" i="5"/>
  <c r="K215" i="5"/>
  <c r="J215" i="5"/>
  <c r="I215" i="5"/>
  <c r="G215" i="5"/>
  <c r="F215" i="5"/>
  <c r="H215" i="5"/>
  <c r="D215" i="5"/>
  <c r="K203" i="5"/>
  <c r="J203" i="5"/>
  <c r="I203" i="5"/>
  <c r="F203" i="5"/>
  <c r="H203" i="5"/>
  <c r="G203" i="5"/>
  <c r="D203" i="5"/>
  <c r="K191" i="5"/>
  <c r="J191" i="5"/>
  <c r="H191" i="5"/>
  <c r="F191" i="5"/>
  <c r="G191" i="5"/>
  <c r="I191" i="5"/>
  <c r="D191" i="5"/>
  <c r="C451" i="5"/>
  <c r="K456" i="5"/>
  <c r="J456" i="5"/>
  <c r="I456" i="5"/>
  <c r="H456" i="5"/>
  <c r="G456" i="5"/>
  <c r="F456" i="5"/>
  <c r="D456" i="5"/>
  <c r="C379" i="5"/>
  <c r="C307" i="5"/>
  <c r="K492" i="5"/>
  <c r="J492" i="5"/>
  <c r="I492" i="5"/>
  <c r="H492" i="5"/>
  <c r="G492" i="5"/>
  <c r="F492" i="5"/>
  <c r="D492" i="5"/>
  <c r="K480" i="5"/>
  <c r="J480" i="5"/>
  <c r="I480" i="5"/>
  <c r="H480" i="5"/>
  <c r="G480" i="5"/>
  <c r="F480" i="5"/>
  <c r="D480" i="5"/>
  <c r="K468" i="5"/>
  <c r="I468" i="5"/>
  <c r="H468" i="5"/>
  <c r="J468" i="5"/>
  <c r="G468" i="5"/>
  <c r="F468" i="5"/>
  <c r="D468" i="5"/>
  <c r="J444" i="5"/>
  <c r="I444" i="5"/>
  <c r="H444" i="5"/>
  <c r="K444" i="5"/>
  <c r="G444" i="5"/>
  <c r="F444" i="5"/>
  <c r="D444" i="5"/>
  <c r="K432" i="5"/>
  <c r="I432" i="5"/>
  <c r="J432" i="5"/>
  <c r="H432" i="5"/>
  <c r="G432" i="5"/>
  <c r="F432" i="5"/>
  <c r="D432" i="5"/>
  <c r="J420" i="5"/>
  <c r="K420" i="5"/>
  <c r="I420" i="5"/>
  <c r="H420" i="5"/>
  <c r="G420" i="5"/>
  <c r="F420" i="5"/>
  <c r="D420" i="5"/>
  <c r="K408" i="5"/>
  <c r="I408" i="5"/>
  <c r="J408" i="5"/>
  <c r="H408" i="5"/>
  <c r="G408" i="5"/>
  <c r="F408" i="5"/>
  <c r="D408" i="5"/>
  <c r="J396" i="5"/>
  <c r="I396" i="5"/>
  <c r="H396" i="5"/>
  <c r="K396" i="5"/>
  <c r="G396" i="5"/>
  <c r="F396" i="5"/>
  <c r="D396" i="5"/>
  <c r="K384" i="5"/>
  <c r="J384" i="5"/>
  <c r="I384" i="5"/>
  <c r="H384" i="5"/>
  <c r="G384" i="5"/>
  <c r="F384" i="5"/>
  <c r="D384" i="5"/>
  <c r="K372" i="5"/>
  <c r="J372" i="5"/>
  <c r="I372" i="5"/>
  <c r="H372" i="5"/>
  <c r="G372" i="5"/>
  <c r="F372" i="5"/>
  <c r="D372" i="5"/>
  <c r="J360" i="5"/>
  <c r="K360" i="5"/>
  <c r="I360" i="5"/>
  <c r="H360" i="5"/>
  <c r="G360" i="5"/>
  <c r="F360" i="5"/>
  <c r="D360" i="5"/>
  <c r="J348" i="5"/>
  <c r="K348" i="5"/>
  <c r="I348" i="5"/>
  <c r="H348" i="5"/>
  <c r="G348" i="5"/>
  <c r="F348" i="5"/>
  <c r="D348" i="5"/>
  <c r="K336" i="5"/>
  <c r="J336" i="5"/>
  <c r="I336" i="5"/>
  <c r="H336" i="5"/>
  <c r="G336" i="5"/>
  <c r="F336" i="5"/>
  <c r="D336" i="5"/>
  <c r="K324" i="5"/>
  <c r="J324" i="5"/>
  <c r="I324" i="5"/>
  <c r="H324" i="5"/>
  <c r="F324" i="5"/>
  <c r="G324" i="5"/>
  <c r="D324" i="5"/>
  <c r="C492" i="5"/>
  <c r="C420" i="5"/>
  <c r="C348" i="5"/>
  <c r="B475" i="5"/>
  <c r="B463" i="5"/>
  <c r="B403" i="5"/>
  <c r="B391" i="5"/>
  <c r="B331" i="5"/>
  <c r="B319" i="5"/>
  <c r="I490" i="5"/>
  <c r="K490" i="5"/>
  <c r="H490" i="5"/>
  <c r="J490" i="5"/>
  <c r="G490" i="5"/>
  <c r="F490" i="5"/>
  <c r="D490" i="5"/>
  <c r="K478" i="5"/>
  <c r="J478" i="5"/>
  <c r="I478" i="5"/>
  <c r="H478" i="5"/>
  <c r="G478" i="5"/>
  <c r="F478" i="5"/>
  <c r="D478" i="5"/>
  <c r="K466" i="5"/>
  <c r="J466" i="5"/>
  <c r="I466" i="5"/>
  <c r="H466" i="5"/>
  <c r="G466" i="5"/>
  <c r="F466" i="5"/>
  <c r="D466" i="5"/>
  <c r="K454" i="5"/>
  <c r="J454" i="5"/>
  <c r="I454" i="5"/>
  <c r="H454" i="5"/>
  <c r="G454" i="5"/>
  <c r="F454" i="5"/>
  <c r="D454" i="5"/>
  <c r="K442" i="5"/>
  <c r="I442" i="5"/>
  <c r="J442" i="5"/>
  <c r="H442" i="5"/>
  <c r="G442" i="5"/>
  <c r="F442" i="5"/>
  <c r="D442" i="5"/>
  <c r="K430" i="5"/>
  <c r="I430" i="5"/>
  <c r="J430" i="5"/>
  <c r="H430" i="5"/>
  <c r="G430" i="5"/>
  <c r="F430" i="5"/>
  <c r="D430" i="5"/>
  <c r="K418" i="5"/>
  <c r="J418" i="5"/>
  <c r="I418" i="5"/>
  <c r="H418" i="5"/>
  <c r="G418" i="5"/>
  <c r="F418" i="5"/>
  <c r="D418" i="5"/>
  <c r="K406" i="5"/>
  <c r="I406" i="5"/>
  <c r="H406" i="5"/>
  <c r="J406" i="5"/>
  <c r="G406" i="5"/>
  <c r="F406" i="5"/>
  <c r="D406" i="5"/>
  <c r="K394" i="5"/>
  <c r="J394" i="5"/>
  <c r="I394" i="5"/>
  <c r="H394" i="5"/>
  <c r="G394" i="5"/>
  <c r="F394" i="5"/>
  <c r="D394" i="5"/>
  <c r="K382" i="5"/>
  <c r="I382" i="5"/>
  <c r="J382" i="5"/>
  <c r="H382" i="5"/>
  <c r="F382" i="5"/>
  <c r="G382" i="5"/>
  <c r="D382" i="5"/>
  <c r="K370" i="5"/>
  <c r="J370" i="5"/>
  <c r="I370" i="5"/>
  <c r="H370" i="5"/>
  <c r="F370" i="5"/>
  <c r="G370" i="5"/>
  <c r="D370" i="5"/>
  <c r="K358" i="5"/>
  <c r="J358" i="5"/>
  <c r="I358" i="5"/>
  <c r="H358" i="5"/>
  <c r="F358" i="5"/>
  <c r="G358" i="5"/>
  <c r="D358" i="5"/>
  <c r="K346" i="5"/>
  <c r="J346" i="5"/>
  <c r="I346" i="5"/>
  <c r="H346" i="5"/>
  <c r="F346" i="5"/>
  <c r="G346" i="5"/>
  <c r="D346" i="5"/>
  <c r="K334" i="5"/>
  <c r="J334" i="5"/>
  <c r="I334" i="5"/>
  <c r="H334" i="5"/>
  <c r="F334" i="5"/>
  <c r="G334" i="5"/>
  <c r="D334" i="5"/>
  <c r="C490" i="5"/>
  <c r="C432" i="5"/>
  <c r="C418" i="5"/>
  <c r="C360" i="5"/>
  <c r="C346" i="5"/>
  <c r="J489" i="5"/>
  <c r="K489" i="5"/>
  <c r="I489" i="5"/>
  <c r="H489" i="5"/>
  <c r="G489" i="5"/>
  <c r="F489" i="5"/>
  <c r="D489" i="5"/>
  <c r="I477" i="5"/>
  <c r="J477" i="5"/>
  <c r="K477" i="5"/>
  <c r="H477" i="5"/>
  <c r="G477" i="5"/>
  <c r="F477" i="5"/>
  <c r="D477" i="5"/>
  <c r="K465" i="5"/>
  <c r="J465" i="5"/>
  <c r="I465" i="5"/>
  <c r="H465" i="5"/>
  <c r="G465" i="5"/>
  <c r="F465" i="5"/>
  <c r="D465" i="5"/>
  <c r="J453" i="5"/>
  <c r="K453" i="5"/>
  <c r="I453" i="5"/>
  <c r="H453" i="5"/>
  <c r="G453" i="5"/>
  <c r="F453" i="5"/>
  <c r="D453" i="5"/>
  <c r="J441" i="5"/>
  <c r="K441" i="5"/>
  <c r="I441" i="5"/>
  <c r="H441" i="5"/>
  <c r="G441" i="5"/>
  <c r="F441" i="5"/>
  <c r="D441" i="5"/>
  <c r="I429" i="5"/>
  <c r="J429" i="5"/>
  <c r="H429" i="5"/>
  <c r="K429" i="5"/>
  <c r="G429" i="5"/>
  <c r="F429" i="5"/>
  <c r="D429" i="5"/>
  <c r="K417" i="5"/>
  <c r="J417" i="5"/>
  <c r="I417" i="5"/>
  <c r="H417" i="5"/>
  <c r="G417" i="5"/>
  <c r="F417" i="5"/>
  <c r="D417" i="5"/>
  <c r="K405" i="5"/>
  <c r="I405" i="5"/>
  <c r="H405" i="5"/>
  <c r="J405" i="5"/>
  <c r="G405" i="5"/>
  <c r="F405" i="5"/>
  <c r="D405" i="5"/>
  <c r="K393" i="5"/>
  <c r="J393" i="5"/>
  <c r="I393" i="5"/>
  <c r="H393" i="5"/>
  <c r="G393" i="5"/>
  <c r="F393" i="5"/>
  <c r="D393" i="5"/>
  <c r="J381" i="5"/>
  <c r="K381" i="5"/>
  <c r="I381" i="5"/>
  <c r="H381" i="5"/>
  <c r="G381" i="5"/>
  <c r="F381" i="5"/>
  <c r="D381" i="5"/>
  <c r="K369" i="5"/>
  <c r="J369" i="5"/>
  <c r="I369" i="5"/>
  <c r="H369" i="5"/>
  <c r="G369" i="5"/>
  <c r="F369" i="5"/>
  <c r="D369" i="5"/>
  <c r="J357" i="5"/>
  <c r="K357" i="5"/>
  <c r="I357" i="5"/>
  <c r="H357" i="5"/>
  <c r="F357" i="5"/>
  <c r="G357" i="5"/>
  <c r="D357" i="5"/>
  <c r="J345" i="5"/>
  <c r="K345" i="5"/>
  <c r="I345" i="5"/>
  <c r="H345" i="5"/>
  <c r="F345" i="5"/>
  <c r="G345" i="5"/>
  <c r="D345" i="5"/>
  <c r="K333" i="5"/>
  <c r="I333" i="5"/>
  <c r="H333" i="5"/>
  <c r="G333" i="5"/>
  <c r="F333" i="5"/>
  <c r="J333" i="5"/>
  <c r="D333" i="5"/>
  <c r="K321" i="5"/>
  <c r="J321" i="5"/>
  <c r="I321" i="5"/>
  <c r="H321" i="5"/>
  <c r="G321" i="5"/>
  <c r="F321" i="5"/>
  <c r="D321" i="5"/>
  <c r="J309" i="5"/>
  <c r="K309" i="5"/>
  <c r="I309" i="5"/>
  <c r="H309" i="5"/>
  <c r="G309" i="5"/>
  <c r="F309" i="5"/>
  <c r="D309" i="5"/>
  <c r="J297" i="5"/>
  <c r="K297" i="5"/>
  <c r="I297" i="5"/>
  <c r="H297" i="5"/>
  <c r="G297" i="5"/>
  <c r="F297" i="5"/>
  <c r="D297" i="5"/>
  <c r="K285" i="5"/>
  <c r="I285" i="5"/>
  <c r="H285" i="5"/>
  <c r="J285" i="5"/>
  <c r="G285" i="5"/>
  <c r="F285" i="5"/>
  <c r="D285" i="5"/>
  <c r="K273" i="5"/>
  <c r="I273" i="5"/>
  <c r="J273" i="5"/>
  <c r="H273" i="5"/>
  <c r="G273" i="5"/>
  <c r="F273" i="5"/>
  <c r="D273" i="5"/>
  <c r="K261" i="5"/>
  <c r="J261" i="5"/>
  <c r="I261" i="5"/>
  <c r="G261" i="5"/>
  <c r="H261" i="5"/>
  <c r="F261" i="5"/>
  <c r="D261" i="5"/>
  <c r="K249" i="5"/>
  <c r="I249" i="5"/>
  <c r="H249" i="5"/>
  <c r="J249" i="5"/>
  <c r="G249" i="5"/>
  <c r="F249" i="5"/>
  <c r="D249" i="5"/>
  <c r="J237" i="5"/>
  <c r="K237" i="5"/>
  <c r="I237" i="5"/>
  <c r="H237" i="5"/>
  <c r="G237" i="5"/>
  <c r="F237" i="5"/>
  <c r="D237" i="5"/>
  <c r="K225" i="5"/>
  <c r="I225" i="5"/>
  <c r="J225" i="5"/>
  <c r="G225" i="5"/>
  <c r="F225" i="5"/>
  <c r="H225" i="5"/>
  <c r="D225" i="5"/>
  <c r="J213" i="5"/>
  <c r="K213" i="5"/>
  <c r="I213" i="5"/>
  <c r="G213" i="5"/>
  <c r="F213" i="5"/>
  <c r="H213" i="5"/>
  <c r="D213" i="5"/>
  <c r="J201" i="5"/>
  <c r="K201" i="5"/>
  <c r="I201" i="5"/>
  <c r="H201" i="5"/>
  <c r="G201" i="5"/>
  <c r="F201" i="5"/>
  <c r="D201" i="5"/>
  <c r="K189" i="5"/>
  <c r="I189" i="5"/>
  <c r="J189" i="5"/>
  <c r="G189" i="5"/>
  <c r="F189" i="5"/>
  <c r="H189" i="5"/>
  <c r="D189" i="5"/>
  <c r="H165" i="5"/>
  <c r="K45" i="5"/>
  <c r="J45" i="5"/>
  <c r="I45" i="5"/>
  <c r="K33" i="5"/>
  <c r="I33" i="5"/>
  <c r="J33" i="5"/>
  <c r="G33" i="5"/>
  <c r="F33" i="5"/>
  <c r="H33" i="5"/>
  <c r="D33" i="5"/>
  <c r="I21" i="5"/>
  <c r="K21" i="5"/>
  <c r="J21" i="5"/>
  <c r="H21" i="5"/>
  <c r="G21" i="5"/>
  <c r="F21" i="5"/>
  <c r="D21" i="5"/>
  <c r="C215" i="5"/>
  <c r="K500" i="5"/>
  <c r="I500" i="5"/>
  <c r="J500" i="5"/>
  <c r="H500" i="5"/>
  <c r="G500" i="5"/>
  <c r="F500" i="5"/>
  <c r="D500" i="5"/>
  <c r="J488" i="5"/>
  <c r="I488" i="5"/>
  <c r="K488" i="5"/>
  <c r="H488" i="5"/>
  <c r="G488" i="5"/>
  <c r="F488" i="5"/>
  <c r="D488" i="5"/>
  <c r="K476" i="5"/>
  <c r="J476" i="5"/>
  <c r="I476" i="5"/>
  <c r="H476" i="5"/>
  <c r="G476" i="5"/>
  <c r="F476" i="5"/>
  <c r="D476" i="5"/>
  <c r="K464" i="5"/>
  <c r="I464" i="5"/>
  <c r="H464" i="5"/>
  <c r="J464" i="5"/>
  <c r="G464" i="5"/>
  <c r="F464" i="5"/>
  <c r="D464" i="5"/>
  <c r="J452" i="5"/>
  <c r="K452" i="5"/>
  <c r="I452" i="5"/>
  <c r="H452" i="5"/>
  <c r="G452" i="5"/>
  <c r="F452" i="5"/>
  <c r="D452" i="5"/>
  <c r="J440" i="5"/>
  <c r="I440" i="5"/>
  <c r="K440" i="5"/>
  <c r="H440" i="5"/>
  <c r="G440" i="5"/>
  <c r="F440" i="5"/>
  <c r="D440" i="5"/>
  <c r="K428" i="5"/>
  <c r="J428" i="5"/>
  <c r="I428" i="5"/>
  <c r="H428" i="5"/>
  <c r="G428" i="5"/>
  <c r="F428" i="5"/>
  <c r="D428" i="5"/>
  <c r="K416" i="5"/>
  <c r="I416" i="5"/>
  <c r="H416" i="5"/>
  <c r="J416" i="5"/>
  <c r="G416" i="5"/>
  <c r="F416" i="5"/>
  <c r="D416" i="5"/>
  <c r="K404" i="5"/>
  <c r="I404" i="5"/>
  <c r="J404" i="5"/>
  <c r="H404" i="5"/>
  <c r="G404" i="5"/>
  <c r="F404" i="5"/>
  <c r="D404" i="5"/>
  <c r="J392" i="5"/>
  <c r="I392" i="5"/>
  <c r="H392" i="5"/>
  <c r="K392" i="5"/>
  <c r="G392" i="5"/>
  <c r="F392" i="5"/>
  <c r="D392" i="5"/>
  <c r="K380" i="5"/>
  <c r="I380" i="5"/>
  <c r="H380" i="5"/>
  <c r="J380" i="5"/>
  <c r="G380" i="5"/>
  <c r="F380" i="5"/>
  <c r="D380" i="5"/>
  <c r="J368" i="5"/>
  <c r="K368" i="5"/>
  <c r="I368" i="5"/>
  <c r="H368" i="5"/>
  <c r="G368" i="5"/>
  <c r="F368" i="5"/>
  <c r="D368" i="5"/>
  <c r="K356" i="5"/>
  <c r="I356" i="5"/>
  <c r="J356" i="5"/>
  <c r="H356" i="5"/>
  <c r="G356" i="5"/>
  <c r="D356" i="5"/>
  <c r="F356" i="5"/>
  <c r="J344" i="5"/>
  <c r="K344" i="5"/>
  <c r="I344" i="5"/>
  <c r="H344" i="5"/>
  <c r="G344" i="5"/>
  <c r="F344" i="5"/>
  <c r="D344" i="5"/>
  <c r="K332" i="5"/>
  <c r="J332" i="5"/>
  <c r="I332" i="5"/>
  <c r="H332" i="5"/>
  <c r="G332" i="5"/>
  <c r="D332" i="5"/>
  <c r="F332" i="5"/>
  <c r="K320" i="5"/>
  <c r="I320" i="5"/>
  <c r="J320" i="5"/>
  <c r="H320" i="5"/>
  <c r="G320" i="5"/>
  <c r="F320" i="5"/>
  <c r="D320" i="5"/>
  <c r="J308" i="5"/>
  <c r="K308" i="5"/>
  <c r="I308" i="5"/>
  <c r="H308" i="5"/>
  <c r="G308" i="5"/>
  <c r="F308" i="5"/>
  <c r="D308" i="5"/>
  <c r="J296" i="5"/>
  <c r="I296" i="5"/>
  <c r="K296" i="5"/>
  <c r="H296" i="5"/>
  <c r="G296" i="5"/>
  <c r="F296" i="5"/>
  <c r="D296" i="5"/>
  <c r="K284" i="5"/>
  <c r="J284" i="5"/>
  <c r="I284" i="5"/>
  <c r="H284" i="5"/>
  <c r="G284" i="5"/>
  <c r="F284" i="5"/>
  <c r="D284" i="5"/>
  <c r="K272" i="5"/>
  <c r="I272" i="5"/>
  <c r="J272" i="5"/>
  <c r="H272" i="5"/>
  <c r="G272" i="5"/>
  <c r="D272" i="5"/>
  <c r="F272" i="5"/>
  <c r="K260" i="5"/>
  <c r="J260" i="5"/>
  <c r="I260" i="5"/>
  <c r="H260" i="5"/>
  <c r="F260" i="5"/>
  <c r="D260" i="5"/>
  <c r="G260" i="5"/>
  <c r="I248" i="5"/>
  <c r="K248" i="5"/>
  <c r="G248" i="5"/>
  <c r="J248" i="5"/>
  <c r="H248" i="5"/>
  <c r="D248" i="5"/>
  <c r="F248" i="5"/>
  <c r="K236" i="5"/>
  <c r="J236" i="5"/>
  <c r="I236" i="5"/>
  <c r="H236" i="5"/>
  <c r="G236" i="5"/>
  <c r="F236" i="5"/>
  <c r="D236" i="5"/>
  <c r="J224" i="5"/>
  <c r="K224" i="5"/>
  <c r="I224" i="5"/>
  <c r="H224" i="5"/>
  <c r="G224" i="5"/>
  <c r="F224" i="5"/>
  <c r="D224" i="5"/>
  <c r="K212" i="5"/>
  <c r="I212" i="5"/>
  <c r="J212" i="5"/>
  <c r="H212" i="5"/>
  <c r="G212" i="5"/>
  <c r="D212" i="5"/>
  <c r="F212" i="5"/>
  <c r="J200" i="5"/>
  <c r="I200" i="5"/>
  <c r="K200" i="5"/>
  <c r="H200" i="5"/>
  <c r="G200" i="5"/>
  <c r="F200" i="5"/>
  <c r="D200" i="5"/>
  <c r="K188" i="5"/>
  <c r="J188" i="5"/>
  <c r="I188" i="5"/>
  <c r="H188" i="5"/>
  <c r="G188" i="5"/>
  <c r="D188" i="5"/>
  <c r="F188" i="5"/>
  <c r="K176" i="5"/>
  <c r="H128" i="5"/>
  <c r="G128" i="5"/>
  <c r="F128" i="5"/>
  <c r="I80" i="5"/>
  <c r="G80" i="5"/>
  <c r="K32" i="5"/>
  <c r="I32" i="5"/>
  <c r="H32" i="5"/>
  <c r="J32" i="5"/>
  <c r="G32" i="5"/>
  <c r="F32" i="5"/>
  <c r="D32" i="5"/>
  <c r="K20" i="5"/>
  <c r="I20" i="5"/>
  <c r="J20" i="5"/>
  <c r="H20" i="5"/>
  <c r="F20" i="5"/>
  <c r="D20" i="5"/>
  <c r="G20" i="5"/>
  <c r="J499" i="5"/>
  <c r="K499" i="5"/>
  <c r="I499" i="5"/>
  <c r="H499" i="5"/>
  <c r="G499" i="5"/>
  <c r="D499" i="5"/>
  <c r="F499" i="5"/>
  <c r="I487" i="5"/>
  <c r="J487" i="5"/>
  <c r="H487" i="5"/>
  <c r="K487" i="5"/>
  <c r="G487" i="5"/>
  <c r="D487" i="5"/>
  <c r="F487" i="5"/>
  <c r="J475" i="5"/>
  <c r="I475" i="5"/>
  <c r="K475" i="5"/>
  <c r="H475" i="5"/>
  <c r="G475" i="5"/>
  <c r="D475" i="5"/>
  <c r="F475" i="5"/>
  <c r="K463" i="5"/>
  <c r="J463" i="5"/>
  <c r="I463" i="5"/>
  <c r="H463" i="5"/>
  <c r="G463" i="5"/>
  <c r="D463" i="5"/>
  <c r="F463" i="5"/>
  <c r="K451" i="5"/>
  <c r="I451" i="5"/>
  <c r="J451" i="5"/>
  <c r="H451" i="5"/>
  <c r="G451" i="5"/>
  <c r="D451" i="5"/>
  <c r="F451" i="5"/>
  <c r="J439" i="5"/>
  <c r="I439" i="5"/>
  <c r="H439" i="5"/>
  <c r="K439" i="5"/>
  <c r="G439" i="5"/>
  <c r="D439" i="5"/>
  <c r="F439" i="5"/>
  <c r="J427" i="5"/>
  <c r="I427" i="5"/>
  <c r="K427" i="5"/>
  <c r="H427" i="5"/>
  <c r="G427" i="5"/>
  <c r="D427" i="5"/>
  <c r="F427" i="5"/>
  <c r="K415" i="5"/>
  <c r="J415" i="5"/>
  <c r="I415" i="5"/>
  <c r="H415" i="5"/>
  <c r="G415" i="5"/>
  <c r="D415" i="5"/>
  <c r="F415" i="5"/>
  <c r="K403" i="5"/>
  <c r="I403" i="5"/>
  <c r="J403" i="5"/>
  <c r="H403" i="5"/>
  <c r="G403" i="5"/>
  <c r="D403" i="5"/>
  <c r="F403" i="5"/>
  <c r="J391" i="5"/>
  <c r="I391" i="5"/>
  <c r="K391" i="5"/>
  <c r="H391" i="5"/>
  <c r="G391" i="5"/>
  <c r="D391" i="5"/>
  <c r="F391" i="5"/>
  <c r="I379" i="5"/>
  <c r="H379" i="5"/>
  <c r="J379" i="5"/>
  <c r="K379" i="5"/>
  <c r="G379" i="5"/>
  <c r="F379" i="5"/>
  <c r="D379" i="5"/>
  <c r="K367" i="5"/>
  <c r="I367" i="5"/>
  <c r="J367" i="5"/>
  <c r="H367" i="5"/>
  <c r="G367" i="5"/>
  <c r="F367" i="5"/>
  <c r="D367" i="5"/>
  <c r="J355" i="5"/>
  <c r="K355" i="5"/>
  <c r="I355" i="5"/>
  <c r="H355" i="5"/>
  <c r="G355" i="5"/>
  <c r="D355" i="5"/>
  <c r="F355" i="5"/>
  <c r="K343" i="5"/>
  <c r="I343" i="5"/>
  <c r="J343" i="5"/>
  <c r="H343" i="5"/>
  <c r="G343" i="5"/>
  <c r="F343" i="5"/>
  <c r="D343" i="5"/>
  <c r="J331" i="5"/>
  <c r="I331" i="5"/>
  <c r="H331" i="5"/>
  <c r="K331" i="5"/>
  <c r="G331" i="5"/>
  <c r="D331" i="5"/>
  <c r="F331" i="5"/>
  <c r="K319" i="5"/>
  <c r="J319" i="5"/>
  <c r="I319" i="5"/>
  <c r="H319" i="5"/>
  <c r="G319" i="5"/>
  <c r="F319" i="5"/>
  <c r="D319" i="5"/>
  <c r="K307" i="5"/>
  <c r="I307" i="5"/>
  <c r="H307" i="5"/>
  <c r="J307" i="5"/>
  <c r="G307" i="5"/>
  <c r="F307" i="5"/>
  <c r="D307" i="5"/>
  <c r="J295" i="5"/>
  <c r="I295" i="5"/>
  <c r="K295" i="5"/>
  <c r="H295" i="5"/>
  <c r="G295" i="5"/>
  <c r="D295" i="5"/>
  <c r="F295" i="5"/>
  <c r="J283" i="5"/>
  <c r="I283" i="5"/>
  <c r="K283" i="5"/>
  <c r="H283" i="5"/>
  <c r="G283" i="5"/>
  <c r="F283" i="5"/>
  <c r="D283" i="5"/>
  <c r="K271" i="5"/>
  <c r="J271" i="5"/>
  <c r="I271" i="5"/>
  <c r="H271" i="5"/>
  <c r="G271" i="5"/>
  <c r="D271" i="5"/>
  <c r="F271" i="5"/>
  <c r="C227" i="5"/>
  <c r="K498" i="5"/>
  <c r="J498" i="5"/>
  <c r="G498" i="5"/>
  <c r="H498" i="5"/>
  <c r="I498" i="5"/>
  <c r="D498" i="5"/>
  <c r="F498" i="5"/>
  <c r="J486" i="5"/>
  <c r="K486" i="5"/>
  <c r="I486" i="5"/>
  <c r="G486" i="5"/>
  <c r="D486" i="5"/>
  <c r="H486" i="5"/>
  <c r="F486" i="5"/>
  <c r="K474" i="5"/>
  <c r="I474" i="5"/>
  <c r="J474" i="5"/>
  <c r="G474" i="5"/>
  <c r="H474" i="5"/>
  <c r="D474" i="5"/>
  <c r="F474" i="5"/>
  <c r="J462" i="5"/>
  <c r="I462" i="5"/>
  <c r="K462" i="5"/>
  <c r="H462" i="5"/>
  <c r="G462" i="5"/>
  <c r="D462" i="5"/>
  <c r="F462" i="5"/>
  <c r="J450" i="5"/>
  <c r="K450" i="5"/>
  <c r="I450" i="5"/>
  <c r="G450" i="5"/>
  <c r="H450" i="5"/>
  <c r="D450" i="5"/>
  <c r="F450" i="5"/>
  <c r="K438" i="5"/>
  <c r="I438" i="5"/>
  <c r="J438" i="5"/>
  <c r="H438" i="5"/>
  <c r="G438" i="5"/>
  <c r="D438" i="5"/>
  <c r="F438" i="5"/>
  <c r="J426" i="5"/>
  <c r="K426" i="5"/>
  <c r="I426" i="5"/>
  <c r="G426" i="5"/>
  <c r="H426" i="5"/>
  <c r="D426" i="5"/>
  <c r="F426" i="5"/>
  <c r="J414" i="5"/>
  <c r="I414" i="5"/>
  <c r="K414" i="5"/>
  <c r="G414" i="5"/>
  <c r="H414" i="5"/>
  <c r="D414" i="5"/>
  <c r="F414" i="5"/>
  <c r="K402" i="5"/>
  <c r="J402" i="5"/>
  <c r="I402" i="5"/>
  <c r="G402" i="5"/>
  <c r="H402" i="5"/>
  <c r="D402" i="5"/>
  <c r="F402" i="5"/>
  <c r="K390" i="5"/>
  <c r="I390" i="5"/>
  <c r="J390" i="5"/>
  <c r="G390" i="5"/>
  <c r="H390" i="5"/>
  <c r="D390" i="5"/>
  <c r="F390" i="5"/>
  <c r="K378" i="5"/>
  <c r="I378" i="5"/>
  <c r="J378" i="5"/>
  <c r="H378" i="5"/>
  <c r="G378" i="5"/>
  <c r="F378" i="5"/>
  <c r="D378" i="5"/>
  <c r="K366" i="5"/>
  <c r="I366" i="5"/>
  <c r="J366" i="5"/>
  <c r="G366" i="5"/>
  <c r="H366" i="5"/>
  <c r="F366" i="5"/>
  <c r="D366" i="5"/>
  <c r="K354" i="5"/>
  <c r="I354" i="5"/>
  <c r="J354" i="5"/>
  <c r="G354" i="5"/>
  <c r="H354" i="5"/>
  <c r="D354" i="5"/>
  <c r="F354" i="5"/>
  <c r="J342" i="5"/>
  <c r="K342" i="5"/>
  <c r="I342" i="5"/>
  <c r="G342" i="5"/>
  <c r="F342" i="5"/>
  <c r="D342" i="5"/>
  <c r="H342" i="5"/>
  <c r="K330" i="5"/>
  <c r="I330" i="5"/>
  <c r="J330" i="5"/>
  <c r="G330" i="5"/>
  <c r="H330" i="5"/>
  <c r="D330" i="5"/>
  <c r="F330" i="5"/>
  <c r="K318" i="5"/>
  <c r="J318" i="5"/>
  <c r="I318" i="5"/>
  <c r="G318" i="5"/>
  <c r="H318" i="5"/>
  <c r="F318" i="5"/>
  <c r="D318" i="5"/>
  <c r="J306" i="5"/>
  <c r="K306" i="5"/>
  <c r="I306" i="5"/>
  <c r="G306" i="5"/>
  <c r="H306" i="5"/>
  <c r="F306" i="5"/>
  <c r="D306" i="5"/>
  <c r="K294" i="5"/>
  <c r="I294" i="5"/>
  <c r="J294" i="5"/>
  <c r="G294" i="5"/>
  <c r="H294" i="5"/>
  <c r="D294" i="5"/>
  <c r="F294" i="5"/>
  <c r="J282" i="5"/>
  <c r="K282" i="5"/>
  <c r="I282" i="5"/>
  <c r="G282" i="5"/>
  <c r="H282" i="5"/>
  <c r="F282" i="5"/>
  <c r="D282" i="5"/>
  <c r="K270" i="5"/>
  <c r="J270" i="5"/>
  <c r="I270" i="5"/>
  <c r="H270" i="5"/>
  <c r="G270" i="5"/>
  <c r="D270" i="5"/>
  <c r="F270" i="5"/>
  <c r="K258" i="5"/>
  <c r="J258" i="5"/>
  <c r="I258" i="5"/>
  <c r="H258" i="5"/>
  <c r="G258" i="5"/>
  <c r="F258" i="5"/>
  <c r="D258" i="5"/>
  <c r="K246" i="5"/>
  <c r="I246" i="5"/>
  <c r="J246" i="5"/>
  <c r="H246" i="5"/>
  <c r="G246" i="5"/>
  <c r="D246" i="5"/>
  <c r="F246" i="5"/>
  <c r="K234" i="5"/>
  <c r="J234" i="5"/>
  <c r="I234" i="5"/>
  <c r="H234" i="5"/>
  <c r="G234" i="5"/>
  <c r="D234" i="5"/>
  <c r="F234" i="5"/>
  <c r="K222" i="5"/>
  <c r="J222" i="5"/>
  <c r="I222" i="5"/>
  <c r="G222" i="5"/>
  <c r="H222" i="5"/>
  <c r="F222" i="5"/>
  <c r="D222" i="5"/>
  <c r="K210" i="5"/>
  <c r="I210" i="5"/>
  <c r="J210" i="5"/>
  <c r="H210" i="5"/>
  <c r="G210" i="5"/>
  <c r="D210" i="5"/>
  <c r="F210" i="5"/>
  <c r="J198" i="5"/>
  <c r="K198" i="5"/>
  <c r="I198" i="5"/>
  <c r="H198" i="5"/>
  <c r="G198" i="5"/>
  <c r="F198" i="5"/>
  <c r="D198" i="5"/>
  <c r="K186" i="5"/>
  <c r="I186" i="5"/>
  <c r="J186" i="5"/>
  <c r="G186" i="5"/>
  <c r="H186" i="5"/>
  <c r="D186" i="5"/>
  <c r="F186" i="5"/>
  <c r="K162" i="5"/>
  <c r="J126" i="5"/>
  <c r="H126" i="5"/>
  <c r="K30" i="5"/>
  <c r="J30" i="5"/>
  <c r="I30" i="5"/>
  <c r="G30" i="5"/>
  <c r="H30" i="5"/>
  <c r="D30" i="5"/>
  <c r="F30" i="5"/>
  <c r="K18" i="5"/>
  <c r="I18" i="5"/>
  <c r="J18" i="5"/>
  <c r="H18" i="5"/>
  <c r="G18" i="5"/>
  <c r="F18" i="5"/>
  <c r="D18" i="5"/>
  <c r="K497" i="5"/>
  <c r="J497" i="5"/>
  <c r="I497" i="5"/>
  <c r="G497" i="5"/>
  <c r="H497" i="5"/>
  <c r="D497" i="5"/>
  <c r="F497" i="5"/>
  <c r="K485" i="5"/>
  <c r="J485" i="5"/>
  <c r="G485" i="5"/>
  <c r="H485" i="5"/>
  <c r="I485" i="5"/>
  <c r="D485" i="5"/>
  <c r="F485" i="5"/>
  <c r="J473" i="5"/>
  <c r="K473" i="5"/>
  <c r="G473" i="5"/>
  <c r="H473" i="5"/>
  <c r="I473" i="5"/>
  <c r="D473" i="5"/>
  <c r="F473" i="5"/>
  <c r="K461" i="5"/>
  <c r="J461" i="5"/>
  <c r="I461" i="5"/>
  <c r="G461" i="5"/>
  <c r="D461" i="5"/>
  <c r="H461" i="5"/>
  <c r="F461" i="5"/>
  <c r="J449" i="5"/>
  <c r="K449" i="5"/>
  <c r="G449" i="5"/>
  <c r="I449" i="5"/>
  <c r="H449" i="5"/>
  <c r="D449" i="5"/>
  <c r="F449" i="5"/>
  <c r="J437" i="5"/>
  <c r="K437" i="5"/>
  <c r="H437" i="5"/>
  <c r="G437" i="5"/>
  <c r="I437" i="5"/>
  <c r="D437" i="5"/>
  <c r="F437" i="5"/>
  <c r="J425" i="5"/>
  <c r="K425" i="5"/>
  <c r="I425" i="5"/>
  <c r="G425" i="5"/>
  <c r="H425" i="5"/>
  <c r="D425" i="5"/>
  <c r="F425" i="5"/>
  <c r="K413" i="5"/>
  <c r="J413" i="5"/>
  <c r="I413" i="5"/>
  <c r="G413" i="5"/>
  <c r="H413" i="5"/>
  <c r="D413" i="5"/>
  <c r="F413" i="5"/>
  <c r="K401" i="5"/>
  <c r="J401" i="5"/>
  <c r="G401" i="5"/>
  <c r="I401" i="5"/>
  <c r="H401" i="5"/>
  <c r="D401" i="5"/>
  <c r="F401" i="5"/>
  <c r="K389" i="5"/>
  <c r="J389" i="5"/>
  <c r="I389" i="5"/>
  <c r="G389" i="5"/>
  <c r="H389" i="5"/>
  <c r="D389" i="5"/>
  <c r="F389" i="5"/>
  <c r="J377" i="5"/>
  <c r="K377" i="5"/>
  <c r="H377" i="5"/>
  <c r="G377" i="5"/>
  <c r="I377" i="5"/>
  <c r="F377" i="5"/>
  <c r="D377" i="5"/>
  <c r="K365" i="5"/>
  <c r="J365" i="5"/>
  <c r="G365" i="5"/>
  <c r="I365" i="5"/>
  <c r="H365" i="5"/>
  <c r="F365" i="5"/>
  <c r="D365" i="5"/>
  <c r="K353" i="5"/>
  <c r="J353" i="5"/>
  <c r="I353" i="5"/>
  <c r="G353" i="5"/>
  <c r="H353" i="5"/>
  <c r="D353" i="5"/>
  <c r="F353" i="5"/>
  <c r="K341" i="5"/>
  <c r="J341" i="5"/>
  <c r="G341" i="5"/>
  <c r="I341" i="5"/>
  <c r="H341" i="5"/>
  <c r="F341" i="5"/>
  <c r="D341" i="5"/>
  <c r="J329" i="5"/>
  <c r="K329" i="5"/>
  <c r="G329" i="5"/>
  <c r="I329" i="5"/>
  <c r="H329" i="5"/>
  <c r="D329" i="5"/>
  <c r="F329" i="5"/>
  <c r="K317" i="5"/>
  <c r="J317" i="5"/>
  <c r="I317" i="5"/>
  <c r="G317" i="5"/>
  <c r="D317" i="5"/>
  <c r="H317" i="5"/>
  <c r="F317" i="5"/>
  <c r="J305" i="5"/>
  <c r="K305" i="5"/>
  <c r="G305" i="5"/>
  <c r="H305" i="5"/>
  <c r="F305" i="5"/>
  <c r="D305" i="5"/>
  <c r="I305" i="5"/>
  <c r="J293" i="5"/>
  <c r="K293" i="5"/>
  <c r="G293" i="5"/>
  <c r="H293" i="5"/>
  <c r="I293" i="5"/>
  <c r="D293" i="5"/>
  <c r="F293" i="5"/>
  <c r="K281" i="5"/>
  <c r="J281" i="5"/>
  <c r="I281" i="5"/>
  <c r="G281" i="5"/>
  <c r="H281" i="5"/>
  <c r="F281" i="5"/>
  <c r="D281" i="5"/>
  <c r="J496" i="5"/>
  <c r="K496" i="5"/>
  <c r="I496" i="5"/>
  <c r="H496" i="5"/>
  <c r="G496" i="5"/>
  <c r="D496" i="5"/>
  <c r="F496" i="5"/>
  <c r="J484" i="5"/>
  <c r="K484" i="5"/>
  <c r="H484" i="5"/>
  <c r="G484" i="5"/>
  <c r="I484" i="5"/>
  <c r="D484" i="5"/>
  <c r="F484" i="5"/>
  <c r="J472" i="5"/>
  <c r="K472" i="5"/>
  <c r="I472" i="5"/>
  <c r="H472" i="5"/>
  <c r="G472" i="5"/>
  <c r="D472" i="5"/>
  <c r="F472" i="5"/>
  <c r="J460" i="5"/>
  <c r="K460" i="5"/>
  <c r="I460" i="5"/>
  <c r="H460" i="5"/>
  <c r="G460" i="5"/>
  <c r="D460" i="5"/>
  <c r="F460" i="5"/>
  <c r="J448" i="5"/>
  <c r="K448" i="5"/>
  <c r="H448" i="5"/>
  <c r="G448" i="5"/>
  <c r="I448" i="5"/>
  <c r="D448" i="5"/>
  <c r="F448" i="5"/>
  <c r="J436" i="5"/>
  <c r="K436" i="5"/>
  <c r="I436" i="5"/>
  <c r="H436" i="5"/>
  <c r="G436" i="5"/>
  <c r="D436" i="5"/>
  <c r="F436" i="5"/>
  <c r="J424" i="5"/>
  <c r="K424" i="5"/>
  <c r="I424" i="5"/>
  <c r="H424" i="5"/>
  <c r="G424" i="5"/>
  <c r="D424" i="5"/>
  <c r="F424" i="5"/>
  <c r="J412" i="5"/>
  <c r="K412" i="5"/>
  <c r="H412" i="5"/>
  <c r="G412" i="5"/>
  <c r="D412" i="5"/>
  <c r="F412" i="5"/>
  <c r="I412" i="5"/>
  <c r="J400" i="5"/>
  <c r="K400" i="5"/>
  <c r="I400" i="5"/>
  <c r="H400" i="5"/>
  <c r="G400" i="5"/>
  <c r="D400" i="5"/>
  <c r="F400" i="5"/>
  <c r="J388" i="5"/>
  <c r="K388" i="5"/>
  <c r="I388" i="5"/>
  <c r="H388" i="5"/>
  <c r="G388" i="5"/>
  <c r="D388" i="5"/>
  <c r="F388" i="5"/>
  <c r="J376" i="5"/>
  <c r="K376" i="5"/>
  <c r="H376" i="5"/>
  <c r="G376" i="5"/>
  <c r="I376" i="5"/>
  <c r="D376" i="5"/>
  <c r="F376" i="5"/>
  <c r="J364" i="5"/>
  <c r="K364" i="5"/>
  <c r="I364" i="5"/>
  <c r="H364" i="5"/>
  <c r="G364" i="5"/>
  <c r="F364" i="5"/>
  <c r="D364" i="5"/>
  <c r="J352" i="5"/>
  <c r="K352" i="5"/>
  <c r="I352" i="5"/>
  <c r="H352" i="5"/>
  <c r="G352" i="5"/>
  <c r="D352" i="5"/>
  <c r="F352" i="5"/>
  <c r="J340" i="5"/>
  <c r="K340" i="5"/>
  <c r="H340" i="5"/>
  <c r="G340" i="5"/>
  <c r="I340" i="5"/>
  <c r="F340" i="5"/>
  <c r="D340" i="5"/>
  <c r="J328" i="5"/>
  <c r="K328" i="5"/>
  <c r="I328" i="5"/>
  <c r="H328" i="5"/>
  <c r="G328" i="5"/>
  <c r="D328" i="5"/>
  <c r="F328" i="5"/>
  <c r="J316" i="5"/>
  <c r="K316" i="5"/>
  <c r="I316" i="5"/>
  <c r="H316" i="5"/>
  <c r="G316" i="5"/>
  <c r="D316" i="5"/>
  <c r="F316" i="5"/>
  <c r="J304" i="5"/>
  <c r="K304" i="5"/>
  <c r="H304" i="5"/>
  <c r="G304" i="5"/>
  <c r="F304" i="5"/>
  <c r="D304" i="5"/>
  <c r="I304" i="5"/>
  <c r="J292" i="5"/>
  <c r="K292" i="5"/>
  <c r="I292" i="5"/>
  <c r="H292" i="5"/>
  <c r="G292" i="5"/>
  <c r="D292" i="5"/>
  <c r="F292" i="5"/>
  <c r="J280" i="5"/>
  <c r="K280" i="5"/>
  <c r="I280" i="5"/>
  <c r="H280" i="5"/>
  <c r="G280" i="5"/>
  <c r="F280" i="5"/>
  <c r="D280" i="5"/>
  <c r="J268" i="5"/>
  <c r="K268" i="5"/>
  <c r="H268" i="5"/>
  <c r="I268" i="5"/>
  <c r="G268" i="5"/>
  <c r="D268" i="5"/>
  <c r="F268" i="5"/>
  <c r="J256" i="5"/>
  <c r="K256" i="5"/>
  <c r="I256" i="5"/>
  <c r="G256" i="5"/>
  <c r="H256" i="5"/>
  <c r="D256" i="5"/>
  <c r="F256" i="5"/>
  <c r="J244" i="5"/>
  <c r="K244" i="5"/>
  <c r="H244" i="5"/>
  <c r="I244" i="5"/>
  <c r="G244" i="5"/>
  <c r="D244" i="5"/>
  <c r="F244" i="5"/>
  <c r="K495" i="5"/>
  <c r="J495" i="5"/>
  <c r="I495" i="5"/>
  <c r="H495" i="5"/>
  <c r="D495" i="5"/>
  <c r="F495" i="5"/>
  <c r="G495" i="5"/>
  <c r="K483" i="5"/>
  <c r="I483" i="5"/>
  <c r="J483" i="5"/>
  <c r="H483" i="5"/>
  <c r="D483" i="5"/>
  <c r="F483" i="5"/>
  <c r="G483" i="5"/>
  <c r="K471" i="5"/>
  <c r="J471" i="5"/>
  <c r="I471" i="5"/>
  <c r="H471" i="5"/>
  <c r="D471" i="5"/>
  <c r="G471" i="5"/>
  <c r="F471" i="5"/>
  <c r="J459" i="5"/>
  <c r="K459" i="5"/>
  <c r="I459" i="5"/>
  <c r="D459" i="5"/>
  <c r="H459" i="5"/>
  <c r="G459" i="5"/>
  <c r="F459" i="5"/>
  <c r="J447" i="5"/>
  <c r="I447" i="5"/>
  <c r="H447" i="5"/>
  <c r="K447" i="5"/>
  <c r="D447" i="5"/>
  <c r="G447" i="5"/>
  <c r="F447" i="5"/>
  <c r="J435" i="5"/>
  <c r="K435" i="5"/>
  <c r="I435" i="5"/>
  <c r="H435" i="5"/>
  <c r="G435" i="5"/>
  <c r="D435" i="5"/>
  <c r="F435" i="5"/>
  <c r="J423" i="5"/>
  <c r="K423" i="5"/>
  <c r="I423" i="5"/>
  <c r="H423" i="5"/>
  <c r="D423" i="5"/>
  <c r="F423" i="5"/>
  <c r="G423" i="5"/>
  <c r="K411" i="5"/>
  <c r="I411" i="5"/>
  <c r="J411" i="5"/>
  <c r="H411" i="5"/>
  <c r="D411" i="5"/>
  <c r="F411" i="5"/>
  <c r="G411" i="5"/>
  <c r="K399" i="5"/>
  <c r="J399" i="5"/>
  <c r="I399" i="5"/>
  <c r="H399" i="5"/>
  <c r="D399" i="5"/>
  <c r="G399" i="5"/>
  <c r="F399" i="5"/>
  <c r="K387" i="5"/>
  <c r="J387" i="5"/>
  <c r="I387" i="5"/>
  <c r="H387" i="5"/>
  <c r="D387" i="5"/>
  <c r="G387" i="5"/>
  <c r="F387" i="5"/>
  <c r="K375" i="5"/>
  <c r="J375" i="5"/>
  <c r="I375" i="5"/>
  <c r="D375" i="5"/>
  <c r="G375" i="5"/>
  <c r="F375" i="5"/>
  <c r="H375" i="5"/>
  <c r="K363" i="5"/>
  <c r="I363" i="5"/>
  <c r="J363" i="5"/>
  <c r="H363" i="5"/>
  <c r="G363" i="5"/>
  <c r="F363" i="5"/>
  <c r="D363" i="5"/>
  <c r="K351" i="5"/>
  <c r="J351" i="5"/>
  <c r="I351" i="5"/>
  <c r="H351" i="5"/>
  <c r="D351" i="5"/>
  <c r="F351" i="5"/>
  <c r="G351" i="5"/>
  <c r="K339" i="5"/>
  <c r="J339" i="5"/>
  <c r="I339" i="5"/>
  <c r="H339" i="5"/>
  <c r="D339" i="5"/>
  <c r="G339" i="5"/>
  <c r="F339" i="5"/>
  <c r="K327" i="5"/>
  <c r="I327" i="5"/>
  <c r="J327" i="5"/>
  <c r="G327" i="5"/>
  <c r="H327" i="5"/>
  <c r="D327" i="5"/>
  <c r="F327" i="5"/>
  <c r="J315" i="5"/>
  <c r="K315" i="5"/>
  <c r="I315" i="5"/>
  <c r="G315" i="5"/>
  <c r="D315" i="5"/>
  <c r="H315" i="5"/>
  <c r="F315" i="5"/>
  <c r="K303" i="5"/>
  <c r="J303" i="5"/>
  <c r="I303" i="5"/>
  <c r="H303" i="5"/>
  <c r="G303" i="5"/>
  <c r="F303" i="5"/>
  <c r="D303" i="5"/>
  <c r="J291" i="5"/>
  <c r="K291" i="5"/>
  <c r="I291" i="5"/>
  <c r="H291" i="5"/>
  <c r="D291" i="5"/>
  <c r="G291" i="5"/>
  <c r="F291" i="5"/>
  <c r="J279" i="5"/>
  <c r="K279" i="5"/>
  <c r="I279" i="5"/>
  <c r="G279" i="5"/>
  <c r="H279" i="5"/>
  <c r="F279" i="5"/>
  <c r="D279" i="5"/>
  <c r="K269" i="5"/>
  <c r="J269" i="5"/>
  <c r="G269" i="5"/>
  <c r="H269" i="5"/>
  <c r="I269" i="5"/>
  <c r="K257" i="5"/>
  <c r="J257" i="5"/>
  <c r="H257" i="5"/>
  <c r="G257" i="5"/>
  <c r="I257" i="5"/>
  <c r="K245" i="5"/>
  <c r="J245" i="5"/>
  <c r="H245" i="5"/>
  <c r="I245" i="5"/>
  <c r="G245" i="5"/>
  <c r="K233" i="5"/>
  <c r="H233" i="5"/>
  <c r="G233" i="5"/>
  <c r="I233" i="5"/>
  <c r="J233" i="5"/>
  <c r="K221" i="5"/>
  <c r="H221" i="5"/>
  <c r="J221" i="5"/>
  <c r="G221" i="5"/>
  <c r="I221" i="5"/>
  <c r="K209" i="5"/>
  <c r="J209" i="5"/>
  <c r="I209" i="5"/>
  <c r="G209" i="5"/>
  <c r="H209" i="5"/>
  <c r="I197" i="5"/>
  <c r="K197" i="5"/>
  <c r="J197" i="5"/>
  <c r="H197" i="5"/>
  <c r="G197" i="5"/>
  <c r="J185" i="5"/>
  <c r="I185" i="5"/>
  <c r="K185" i="5"/>
  <c r="G185" i="5"/>
  <c r="H185" i="5"/>
  <c r="J161" i="5"/>
  <c r="K161" i="5"/>
  <c r="K125" i="5"/>
  <c r="G125" i="5"/>
  <c r="H125" i="5"/>
  <c r="H113" i="5"/>
  <c r="K65" i="5"/>
  <c r="I65" i="5"/>
  <c r="K29" i="5"/>
  <c r="I29" i="5"/>
  <c r="J29" i="5"/>
  <c r="G29" i="5"/>
  <c r="H29" i="5"/>
  <c r="K17" i="5"/>
  <c r="J17" i="5"/>
  <c r="H17" i="5"/>
  <c r="I17" i="5"/>
  <c r="G17" i="5"/>
  <c r="K5" i="5"/>
  <c r="I5" i="5"/>
  <c r="J5" i="5"/>
  <c r="H5" i="5"/>
  <c r="G5" i="5"/>
  <c r="F5" i="5"/>
  <c r="D312" i="5"/>
  <c r="D276" i="5"/>
  <c r="D252" i="5"/>
  <c r="D228" i="5"/>
  <c r="D192" i="5"/>
  <c r="D24" i="5"/>
  <c r="J232" i="5"/>
  <c r="K232" i="5"/>
  <c r="H232" i="5"/>
  <c r="I232" i="5"/>
  <c r="G232" i="5"/>
  <c r="J220" i="5"/>
  <c r="K220" i="5"/>
  <c r="H220" i="5"/>
  <c r="I220" i="5"/>
  <c r="G220" i="5"/>
  <c r="J208" i="5"/>
  <c r="K208" i="5"/>
  <c r="I208" i="5"/>
  <c r="H208" i="5"/>
  <c r="G208" i="5"/>
  <c r="J196" i="5"/>
  <c r="I196" i="5"/>
  <c r="K196" i="5"/>
  <c r="G196" i="5"/>
  <c r="J184" i="5"/>
  <c r="I184" i="5"/>
  <c r="K184" i="5"/>
  <c r="H184" i="5"/>
  <c r="G184" i="5"/>
  <c r="J112" i="5"/>
  <c r="K112" i="5"/>
  <c r="I112" i="5"/>
  <c r="J28" i="5"/>
  <c r="I28" i="5"/>
  <c r="K28" i="5"/>
  <c r="H28" i="5"/>
  <c r="G28" i="5"/>
  <c r="F28" i="5"/>
  <c r="J16" i="5"/>
  <c r="K16" i="5"/>
  <c r="I16" i="5"/>
  <c r="H16" i="5"/>
  <c r="F16" i="5"/>
  <c r="G16" i="5"/>
  <c r="J4" i="5"/>
  <c r="K4" i="5"/>
  <c r="I4" i="5"/>
  <c r="H4" i="5"/>
  <c r="G4" i="5"/>
  <c r="F4" i="5"/>
  <c r="D131" i="5"/>
  <c r="F233" i="5"/>
  <c r="F211" i="5"/>
  <c r="F29" i="5"/>
  <c r="G259" i="5"/>
  <c r="H190" i="5"/>
  <c r="K267" i="5"/>
  <c r="J267" i="5"/>
  <c r="I267" i="5"/>
  <c r="H267" i="5"/>
  <c r="G267" i="5"/>
  <c r="K255" i="5"/>
  <c r="J255" i="5"/>
  <c r="I255" i="5"/>
  <c r="G255" i="5"/>
  <c r="K243" i="5"/>
  <c r="J243" i="5"/>
  <c r="I243" i="5"/>
  <c r="H243" i="5"/>
  <c r="K231" i="5"/>
  <c r="J231" i="5"/>
  <c r="I231" i="5"/>
  <c r="H231" i="5"/>
  <c r="G231" i="5"/>
  <c r="K219" i="5"/>
  <c r="J219" i="5"/>
  <c r="I219" i="5"/>
  <c r="H219" i="5"/>
  <c r="G219" i="5"/>
  <c r="K207" i="5"/>
  <c r="J207" i="5"/>
  <c r="I207" i="5"/>
  <c r="H207" i="5"/>
  <c r="G207" i="5"/>
  <c r="K195" i="5"/>
  <c r="J195" i="5"/>
  <c r="H195" i="5"/>
  <c r="K183" i="5"/>
  <c r="I183" i="5"/>
  <c r="J183" i="5"/>
  <c r="G183" i="5"/>
  <c r="H183" i="5"/>
  <c r="J171" i="5"/>
  <c r="K171" i="5"/>
  <c r="I171" i="5"/>
  <c r="H171" i="5"/>
  <c r="K75" i="5"/>
  <c r="J75" i="5"/>
  <c r="H75" i="5"/>
  <c r="I75" i="5"/>
  <c r="G75" i="5"/>
  <c r="K63" i="5"/>
  <c r="G63" i="5"/>
  <c r="J63" i="5"/>
  <c r="K51" i="5"/>
  <c r="H51" i="5"/>
  <c r="G51" i="5"/>
  <c r="J27" i="5"/>
  <c r="K27" i="5"/>
  <c r="I27" i="5"/>
  <c r="H27" i="5"/>
  <c r="K15" i="5"/>
  <c r="I15" i="5"/>
  <c r="J15" i="5"/>
  <c r="H15" i="5"/>
  <c r="G15" i="5"/>
  <c r="K3" i="5"/>
  <c r="I3" i="5"/>
  <c r="J3" i="5"/>
  <c r="H3" i="5"/>
  <c r="G3" i="5"/>
  <c r="F3" i="5"/>
  <c r="F232" i="5"/>
  <c r="F171" i="5"/>
  <c r="F147" i="5"/>
  <c r="F99" i="5"/>
  <c r="F75" i="5"/>
  <c r="F51" i="5"/>
  <c r="F27" i="5"/>
  <c r="G243" i="5"/>
  <c r="C26" i="5"/>
  <c r="K26" i="5"/>
  <c r="I26" i="5"/>
  <c r="J26" i="5"/>
  <c r="G26" i="5"/>
  <c r="H26" i="5"/>
  <c r="F26" i="5"/>
  <c r="C14" i="5"/>
  <c r="K14" i="5"/>
  <c r="J14" i="5"/>
  <c r="I14" i="5"/>
  <c r="G14" i="5"/>
  <c r="H14" i="5"/>
  <c r="F14" i="5"/>
  <c r="F231" i="5"/>
  <c r="F209" i="5"/>
  <c r="F187" i="5"/>
  <c r="G19" i="5"/>
  <c r="C85" i="5"/>
  <c r="C61" i="5"/>
  <c r="K61" i="5"/>
  <c r="H61" i="5"/>
  <c r="F61" i="5"/>
  <c r="F49" i="5"/>
  <c r="C25" i="5"/>
  <c r="J25" i="5"/>
  <c r="K25" i="5"/>
  <c r="I25" i="5"/>
  <c r="H25" i="5"/>
  <c r="G25" i="5"/>
  <c r="F25" i="5"/>
  <c r="C13" i="5"/>
  <c r="K13" i="5"/>
  <c r="I13" i="5"/>
  <c r="J13" i="5"/>
  <c r="H13" i="5"/>
  <c r="G13" i="5"/>
  <c r="F13" i="5"/>
  <c r="F269" i="5"/>
  <c r="F247" i="5"/>
  <c r="F228" i="5"/>
  <c r="F208" i="5"/>
  <c r="I195" i="5"/>
  <c r="J312" i="5"/>
  <c r="K312" i="5"/>
  <c r="I312" i="5"/>
  <c r="H312" i="5"/>
  <c r="G312" i="5"/>
  <c r="K300" i="5"/>
  <c r="I300" i="5"/>
  <c r="J300" i="5"/>
  <c r="H300" i="5"/>
  <c r="G300" i="5"/>
  <c r="K288" i="5"/>
  <c r="J288" i="5"/>
  <c r="I288" i="5"/>
  <c r="H288" i="5"/>
  <c r="G288" i="5"/>
  <c r="J276" i="5"/>
  <c r="K276" i="5"/>
  <c r="H276" i="5"/>
  <c r="I276" i="5"/>
  <c r="H264" i="5"/>
  <c r="J264" i="5"/>
  <c r="I264" i="5"/>
  <c r="K264" i="5"/>
  <c r="G264" i="5"/>
  <c r="J252" i="5"/>
  <c r="H252" i="5"/>
  <c r="I252" i="5"/>
  <c r="K252" i="5"/>
  <c r="G252" i="5"/>
  <c r="K240" i="5"/>
  <c r="J240" i="5"/>
  <c r="H240" i="5"/>
  <c r="I240" i="5"/>
  <c r="G240" i="5"/>
  <c r="K228" i="5"/>
  <c r="H228" i="5"/>
  <c r="I228" i="5"/>
  <c r="J228" i="5"/>
  <c r="J216" i="5"/>
  <c r="K216" i="5"/>
  <c r="H216" i="5"/>
  <c r="I216" i="5"/>
  <c r="G216" i="5"/>
  <c r="J204" i="5"/>
  <c r="H204" i="5"/>
  <c r="I204" i="5"/>
  <c r="K204" i="5"/>
  <c r="G204" i="5"/>
  <c r="K192" i="5"/>
  <c r="J192" i="5"/>
  <c r="H192" i="5"/>
  <c r="I192" i="5"/>
  <c r="G192" i="5"/>
  <c r="K180" i="5"/>
  <c r="H180" i="5"/>
  <c r="J180" i="5"/>
  <c r="I180" i="5"/>
  <c r="J108" i="5"/>
  <c r="H108" i="5"/>
  <c r="K108" i="5"/>
  <c r="J36" i="5"/>
  <c r="K36" i="5"/>
  <c r="J24" i="5"/>
  <c r="K24" i="5"/>
  <c r="I24" i="5"/>
  <c r="H24" i="5"/>
  <c r="G24" i="5"/>
  <c r="K12" i="5"/>
  <c r="J12" i="5"/>
  <c r="H12" i="5"/>
  <c r="G12" i="5"/>
  <c r="I12" i="5"/>
  <c r="D259" i="5"/>
  <c r="D223" i="5"/>
  <c r="D211" i="5"/>
  <c r="D199" i="5"/>
  <c r="D19" i="5"/>
  <c r="F288" i="5"/>
  <c r="F207" i="5"/>
  <c r="F185" i="5"/>
  <c r="J143" i="5"/>
  <c r="I143" i="5"/>
  <c r="J131" i="5"/>
  <c r="K119" i="5"/>
  <c r="J119" i="5"/>
  <c r="I119" i="5"/>
  <c r="H119" i="5"/>
  <c r="G119" i="5"/>
  <c r="F119" i="5"/>
  <c r="K23" i="5"/>
  <c r="I23" i="5"/>
  <c r="J23" i="5"/>
  <c r="H23" i="5"/>
  <c r="G23" i="5"/>
  <c r="F23" i="5"/>
  <c r="K11" i="5"/>
  <c r="J11" i="5"/>
  <c r="I11" i="5"/>
  <c r="H11" i="5"/>
  <c r="F11" i="5"/>
  <c r="G11" i="5"/>
  <c r="F267" i="5"/>
  <c r="F245" i="5"/>
  <c r="F204" i="5"/>
  <c r="F184" i="5"/>
  <c r="I63" i="5"/>
  <c r="K322" i="5"/>
  <c r="J322" i="5"/>
  <c r="I322" i="5"/>
  <c r="H322" i="5"/>
  <c r="F322" i="5"/>
  <c r="G322" i="5"/>
  <c r="K310" i="5"/>
  <c r="J310" i="5"/>
  <c r="I310" i="5"/>
  <c r="H310" i="5"/>
  <c r="G310" i="5"/>
  <c r="F310" i="5"/>
  <c r="K298" i="5"/>
  <c r="I298" i="5"/>
  <c r="J298" i="5"/>
  <c r="H298" i="5"/>
  <c r="F298" i="5"/>
  <c r="G298" i="5"/>
  <c r="K286" i="5"/>
  <c r="J286" i="5"/>
  <c r="I286" i="5"/>
  <c r="H286" i="5"/>
  <c r="F286" i="5"/>
  <c r="G286" i="5"/>
  <c r="K274" i="5"/>
  <c r="I274" i="5"/>
  <c r="J274" i="5"/>
  <c r="F274" i="5"/>
  <c r="H274" i="5"/>
  <c r="G274" i="5"/>
  <c r="K262" i="5"/>
  <c r="J262" i="5"/>
  <c r="I262" i="5"/>
  <c r="H262" i="5"/>
  <c r="G262" i="5"/>
  <c r="F262" i="5"/>
  <c r="K250" i="5"/>
  <c r="J250" i="5"/>
  <c r="I250" i="5"/>
  <c r="H250" i="5"/>
  <c r="F250" i="5"/>
  <c r="G250" i="5"/>
  <c r="K238" i="5"/>
  <c r="J238" i="5"/>
  <c r="I238" i="5"/>
  <c r="F238" i="5"/>
  <c r="H238" i="5"/>
  <c r="G238" i="5"/>
  <c r="K226" i="5"/>
  <c r="J226" i="5"/>
  <c r="I226" i="5"/>
  <c r="F226" i="5"/>
  <c r="G226" i="5"/>
  <c r="K214" i="5"/>
  <c r="J214" i="5"/>
  <c r="I214" i="5"/>
  <c r="H214" i="5"/>
  <c r="G214" i="5"/>
  <c r="F214" i="5"/>
  <c r="K202" i="5"/>
  <c r="J202" i="5"/>
  <c r="I202" i="5"/>
  <c r="F202" i="5"/>
  <c r="H202" i="5"/>
  <c r="G202" i="5"/>
  <c r="K190" i="5"/>
  <c r="J190" i="5"/>
  <c r="I190" i="5"/>
  <c r="F190" i="5"/>
  <c r="G190" i="5"/>
  <c r="I178" i="5"/>
  <c r="K118" i="5"/>
  <c r="G82" i="5"/>
  <c r="K22" i="5"/>
  <c r="J22" i="5"/>
  <c r="I22" i="5"/>
  <c r="G22" i="5"/>
  <c r="F22" i="5"/>
  <c r="H22" i="5"/>
  <c r="D269" i="5"/>
  <c r="D257" i="5"/>
  <c r="D245" i="5"/>
  <c r="D233" i="5"/>
  <c r="D221" i="5"/>
  <c r="D209" i="5"/>
  <c r="D197" i="5"/>
  <c r="D185" i="5"/>
  <c r="D29" i="5"/>
  <c r="D17" i="5"/>
  <c r="D5" i="5"/>
  <c r="F264" i="5"/>
  <c r="F183" i="5"/>
  <c r="F161" i="5"/>
  <c r="F113" i="5"/>
  <c r="F17" i="5"/>
  <c r="G112" i="5"/>
  <c r="I61" i="5"/>
  <c r="K9" i="5"/>
  <c r="I9" i="5"/>
  <c r="J9" i="5"/>
  <c r="G9" i="5"/>
  <c r="F9" i="5"/>
  <c r="H9" i="5"/>
  <c r="D232" i="5"/>
  <c r="D220" i="5"/>
  <c r="D208" i="5"/>
  <c r="D196" i="5"/>
  <c r="D184" i="5"/>
  <c r="D112" i="5"/>
  <c r="D28" i="5"/>
  <c r="D16" i="5"/>
  <c r="D4" i="5"/>
  <c r="F243" i="5"/>
  <c r="F221" i="5"/>
  <c r="F180" i="5"/>
  <c r="F63" i="5"/>
  <c r="F39" i="5"/>
  <c r="F15" i="5"/>
  <c r="G195" i="5"/>
  <c r="K8" i="5"/>
  <c r="J8" i="5"/>
  <c r="I8" i="5"/>
  <c r="H8" i="5"/>
  <c r="G8" i="5"/>
  <c r="D267" i="5"/>
  <c r="D255" i="5"/>
  <c r="D243" i="5"/>
  <c r="D231" i="5"/>
  <c r="D219" i="5"/>
  <c r="D207" i="5"/>
  <c r="D195" i="5"/>
  <c r="D183" i="5"/>
  <c r="D75" i="5"/>
  <c r="D63" i="5"/>
  <c r="D51" i="5"/>
  <c r="D39" i="5"/>
  <c r="D27" i="5"/>
  <c r="D15" i="5"/>
  <c r="D3" i="5"/>
  <c r="F240" i="5"/>
  <c r="F220" i="5"/>
  <c r="F108" i="5"/>
  <c r="F84" i="5"/>
  <c r="F36" i="5"/>
  <c r="F12" i="5"/>
  <c r="H255" i="5"/>
  <c r="K259" i="5"/>
  <c r="I259" i="5"/>
  <c r="H259" i="5"/>
  <c r="J259" i="5"/>
  <c r="I247" i="5"/>
  <c r="K247" i="5"/>
  <c r="J247" i="5"/>
  <c r="H247" i="5"/>
  <c r="G247" i="5"/>
  <c r="J235" i="5"/>
  <c r="I235" i="5"/>
  <c r="K235" i="5"/>
  <c r="H235" i="5"/>
  <c r="G235" i="5"/>
  <c r="K223" i="5"/>
  <c r="I223" i="5"/>
  <c r="J223" i="5"/>
  <c r="H223" i="5"/>
  <c r="G223" i="5"/>
  <c r="J211" i="5"/>
  <c r="K211" i="5"/>
  <c r="I211" i="5"/>
  <c r="H211" i="5"/>
  <c r="K199" i="5"/>
  <c r="I199" i="5"/>
  <c r="J199" i="5"/>
  <c r="H199" i="5"/>
  <c r="G199" i="5"/>
  <c r="J187" i="5"/>
  <c r="I187" i="5"/>
  <c r="K187" i="5"/>
  <c r="G187" i="5"/>
  <c r="H187" i="5"/>
  <c r="K175" i="5"/>
  <c r="I175" i="5"/>
  <c r="H175" i="5"/>
  <c r="J31" i="5"/>
  <c r="K31" i="5"/>
  <c r="I31" i="5"/>
  <c r="H31" i="5"/>
  <c r="G31" i="5"/>
  <c r="J19" i="5"/>
  <c r="K19" i="5"/>
  <c r="I19" i="5"/>
  <c r="H19" i="5"/>
  <c r="K7" i="5"/>
  <c r="J7" i="5"/>
  <c r="I7" i="5"/>
  <c r="H7" i="5"/>
  <c r="G7" i="5"/>
  <c r="D26" i="5"/>
  <c r="D14" i="5"/>
  <c r="F300" i="5"/>
  <c r="F219" i="5"/>
  <c r="F197" i="5"/>
  <c r="F175" i="5"/>
  <c r="F8" i="5"/>
  <c r="G276" i="5"/>
  <c r="G180" i="5"/>
  <c r="H226" i="5"/>
  <c r="K6" i="5"/>
  <c r="I6" i="5"/>
  <c r="J6" i="5"/>
  <c r="H6" i="5"/>
  <c r="G6" i="5"/>
  <c r="F6" i="5"/>
  <c r="D61" i="5"/>
  <c r="D25" i="5"/>
  <c r="D13" i="5"/>
  <c r="F257" i="5"/>
  <c r="F235" i="5"/>
  <c r="F216" i="5"/>
  <c r="F196" i="5"/>
  <c r="F31" i="5"/>
  <c r="F7" i="5"/>
  <c r="F10" i="5" l="1"/>
  <c r="G10" i="5"/>
  <c r="C10" i="5"/>
  <c r="H10" i="5"/>
  <c r="D10" i="5"/>
  <c r="K10" i="5"/>
  <c r="D176" i="5"/>
  <c r="G35" i="5"/>
  <c r="F176" i="5"/>
  <c r="I10" i="5"/>
  <c r="H91" i="5"/>
  <c r="J10" i="5"/>
  <c r="I35" i="5"/>
  <c r="G176" i="5"/>
  <c r="H176" i="5"/>
  <c r="B176" i="5"/>
  <c r="I176" i="5"/>
  <c r="J176" i="5"/>
  <c r="C27" i="5"/>
  <c r="D113" i="5"/>
  <c r="K46" i="5"/>
  <c r="H76" i="5"/>
  <c r="H130" i="5"/>
  <c r="J96" i="5"/>
  <c r="C73" i="5"/>
  <c r="K90" i="5"/>
  <c r="C128" i="5"/>
  <c r="C121" i="5"/>
  <c r="B42" i="5"/>
  <c r="B79" i="5"/>
  <c r="I147" i="5"/>
  <c r="H147" i="5"/>
  <c r="I128" i="5"/>
  <c r="K128" i="5"/>
  <c r="G46" i="5"/>
  <c r="G148" i="5"/>
  <c r="G121" i="5"/>
  <c r="B148" i="5"/>
  <c r="J128" i="5"/>
  <c r="K147" i="5"/>
  <c r="J147" i="5"/>
  <c r="F148" i="5"/>
  <c r="H148" i="5"/>
  <c r="F42" i="5"/>
  <c r="C36" i="5"/>
  <c r="H42" i="5"/>
  <c r="F121" i="5"/>
  <c r="D148" i="5"/>
  <c r="G147" i="5"/>
  <c r="K148" i="5"/>
  <c r="G42" i="5"/>
  <c r="G34" i="5"/>
  <c r="F95" i="5"/>
  <c r="I148" i="5"/>
  <c r="I81" i="5"/>
  <c r="I121" i="5"/>
  <c r="C148" i="5"/>
  <c r="I46" i="5"/>
  <c r="J95" i="5"/>
  <c r="I36" i="5"/>
  <c r="J102" i="5"/>
  <c r="H121" i="5"/>
  <c r="G95" i="5"/>
  <c r="D147" i="5"/>
  <c r="F46" i="5"/>
  <c r="G36" i="5"/>
  <c r="D114" i="5"/>
  <c r="K121" i="5"/>
  <c r="J46" i="5"/>
  <c r="H36" i="5"/>
  <c r="G114" i="5"/>
  <c r="J121" i="5"/>
  <c r="F102" i="5"/>
  <c r="J122" i="5"/>
  <c r="G84" i="5"/>
  <c r="C125" i="5"/>
  <c r="D125" i="5"/>
  <c r="K84" i="5"/>
  <c r="I42" i="5"/>
  <c r="K42" i="5"/>
  <c r="D121" i="5"/>
  <c r="J71" i="5"/>
  <c r="K71" i="5"/>
  <c r="D109" i="5"/>
  <c r="F82" i="5"/>
  <c r="D161" i="5"/>
  <c r="I82" i="5"/>
  <c r="K95" i="5"/>
  <c r="J125" i="5"/>
  <c r="J82" i="5"/>
  <c r="F107" i="5"/>
  <c r="F125" i="5"/>
  <c r="I125" i="5"/>
  <c r="C107" i="5"/>
  <c r="G99" i="5"/>
  <c r="J107" i="5"/>
  <c r="K114" i="5"/>
  <c r="D171" i="5"/>
  <c r="K107" i="5"/>
  <c r="J99" i="5"/>
  <c r="D175" i="5"/>
  <c r="B162" i="5"/>
  <c r="H107" i="5"/>
  <c r="I99" i="5"/>
  <c r="G175" i="5"/>
  <c r="K99" i="5"/>
  <c r="C63" i="5"/>
  <c r="H162" i="5"/>
  <c r="D81" i="5"/>
  <c r="D162" i="5"/>
  <c r="J175" i="5"/>
  <c r="J61" i="5"/>
  <c r="H63" i="5"/>
  <c r="F162" i="5"/>
  <c r="H81" i="5"/>
  <c r="G162" i="5"/>
  <c r="F81" i="5"/>
  <c r="G61" i="5"/>
  <c r="G171" i="5"/>
  <c r="I162" i="5"/>
  <c r="G81" i="5"/>
  <c r="J81" i="5"/>
  <c r="B114" i="5"/>
  <c r="D107" i="5"/>
  <c r="F114" i="5"/>
  <c r="J162" i="5"/>
  <c r="I106" i="5"/>
  <c r="G107" i="5"/>
  <c r="F173" i="5"/>
  <c r="H114" i="5"/>
  <c r="K81" i="5"/>
  <c r="C114" i="5"/>
  <c r="I114" i="5"/>
  <c r="D99" i="5"/>
  <c r="I107" i="5"/>
  <c r="H99" i="5"/>
  <c r="D152" i="5"/>
  <c r="C81" i="5"/>
  <c r="H127" i="5"/>
  <c r="I113" i="5"/>
  <c r="H45" i="5"/>
  <c r="G110" i="5"/>
  <c r="D82" i="5"/>
  <c r="D48" i="5"/>
  <c r="K113" i="5"/>
  <c r="F45" i="5"/>
  <c r="H110" i="5"/>
  <c r="B161" i="5"/>
  <c r="G113" i="5"/>
  <c r="J78" i="5"/>
  <c r="G45" i="5"/>
  <c r="F110" i="5"/>
  <c r="C161" i="5"/>
  <c r="K82" i="5"/>
  <c r="G161" i="5"/>
  <c r="I69" i="5"/>
  <c r="G143" i="5"/>
  <c r="H161" i="5"/>
  <c r="F143" i="5"/>
  <c r="H143" i="5"/>
  <c r="I127" i="5"/>
  <c r="B113" i="5"/>
  <c r="J127" i="5"/>
  <c r="K143" i="5"/>
  <c r="C45" i="5"/>
  <c r="F74" i="5"/>
  <c r="C113" i="5"/>
  <c r="F127" i="5"/>
  <c r="D45" i="5"/>
  <c r="D110" i="5"/>
  <c r="B127" i="5"/>
  <c r="D167" i="5"/>
  <c r="K127" i="5"/>
  <c r="K115" i="5"/>
  <c r="G127" i="5"/>
  <c r="G149" i="5"/>
  <c r="D127" i="5"/>
  <c r="D115" i="5"/>
  <c r="K131" i="5"/>
  <c r="D44" i="5"/>
  <c r="G44" i="5"/>
  <c r="D140" i="5"/>
  <c r="F44" i="5"/>
  <c r="H44" i="5"/>
  <c r="B140" i="5"/>
  <c r="K178" i="5"/>
  <c r="B119" i="5"/>
  <c r="H178" i="5"/>
  <c r="I131" i="5"/>
  <c r="D37" i="5"/>
  <c r="K37" i="5"/>
  <c r="F140" i="5"/>
  <c r="I44" i="5"/>
  <c r="G140" i="5"/>
  <c r="C131" i="5"/>
  <c r="C140" i="5"/>
  <c r="J70" i="5"/>
  <c r="G53" i="5"/>
  <c r="J44" i="5"/>
  <c r="H140" i="5"/>
  <c r="K44" i="5"/>
  <c r="I140" i="5"/>
  <c r="D178" i="5"/>
  <c r="D119" i="5"/>
  <c r="J140" i="5"/>
  <c r="B178" i="5"/>
  <c r="G131" i="5"/>
  <c r="J178" i="5"/>
  <c r="B131" i="5"/>
  <c r="G178" i="5"/>
  <c r="F131" i="5"/>
  <c r="C178" i="5"/>
  <c r="D97" i="5"/>
  <c r="D58" i="5"/>
  <c r="F177" i="5"/>
  <c r="G109" i="5"/>
  <c r="I177" i="5"/>
  <c r="F109" i="5"/>
  <c r="B177" i="5"/>
  <c r="G97" i="5"/>
  <c r="I109" i="5"/>
  <c r="I67" i="5"/>
  <c r="J97" i="5"/>
  <c r="H109" i="5"/>
  <c r="H146" i="5"/>
  <c r="K67" i="5"/>
  <c r="H58" i="5"/>
  <c r="I97" i="5"/>
  <c r="J109" i="5"/>
  <c r="J67" i="5"/>
  <c r="J58" i="5"/>
  <c r="K97" i="5"/>
  <c r="K124" i="5"/>
  <c r="K109" i="5"/>
  <c r="K58" i="5"/>
  <c r="C97" i="5"/>
  <c r="J124" i="5"/>
  <c r="C109" i="5"/>
  <c r="D124" i="5"/>
  <c r="I116" i="5"/>
  <c r="G87" i="5"/>
  <c r="K87" i="5"/>
  <c r="F167" i="5"/>
  <c r="J115" i="5"/>
  <c r="F58" i="5"/>
  <c r="G167" i="5"/>
  <c r="H48" i="5"/>
  <c r="H167" i="5"/>
  <c r="H59" i="5"/>
  <c r="I48" i="5"/>
  <c r="K167" i="5"/>
  <c r="F115" i="5"/>
  <c r="J48" i="5"/>
  <c r="B115" i="5"/>
  <c r="G48" i="5"/>
  <c r="C167" i="5"/>
  <c r="J167" i="5"/>
  <c r="H137" i="5"/>
  <c r="K48" i="5"/>
  <c r="H115" i="5"/>
  <c r="I58" i="5"/>
  <c r="I115" i="5"/>
  <c r="G58" i="5"/>
  <c r="C115" i="5"/>
  <c r="C48" i="5"/>
  <c r="H87" i="5"/>
  <c r="G124" i="5"/>
  <c r="D177" i="5"/>
  <c r="G146" i="5"/>
  <c r="I87" i="5"/>
  <c r="F124" i="5"/>
  <c r="C177" i="5"/>
  <c r="D87" i="5"/>
  <c r="J87" i="5"/>
  <c r="H124" i="5"/>
  <c r="H177" i="5"/>
  <c r="D146" i="5"/>
  <c r="I124" i="5"/>
  <c r="G177" i="5"/>
  <c r="F146" i="5"/>
  <c r="I146" i="5"/>
  <c r="B124" i="5"/>
  <c r="F97" i="5"/>
  <c r="J177" i="5"/>
  <c r="J146" i="5"/>
  <c r="K146" i="5"/>
  <c r="C146" i="5"/>
  <c r="F87" i="5"/>
  <c r="H97" i="5"/>
  <c r="I167" i="5"/>
  <c r="B58" i="5"/>
  <c r="F53" i="5"/>
  <c r="G164" i="5"/>
  <c r="K79" i="5"/>
  <c r="K130" i="5"/>
  <c r="C37" i="5"/>
  <c r="F73" i="5"/>
  <c r="J53" i="5"/>
  <c r="K137" i="5"/>
  <c r="H173" i="5"/>
  <c r="D164" i="5"/>
  <c r="J79" i="5"/>
  <c r="D53" i="5"/>
  <c r="F166" i="5"/>
  <c r="H96" i="5"/>
  <c r="H73" i="5"/>
  <c r="I137" i="5"/>
  <c r="G173" i="5"/>
  <c r="F164" i="5"/>
  <c r="F137" i="5"/>
  <c r="H34" i="5"/>
  <c r="I96" i="5"/>
  <c r="J73" i="5"/>
  <c r="B76" i="5"/>
  <c r="C137" i="5"/>
  <c r="F151" i="5"/>
  <c r="G151" i="5"/>
  <c r="G96" i="5"/>
  <c r="D137" i="5"/>
  <c r="G83" i="5"/>
  <c r="I37" i="5"/>
  <c r="D90" i="5"/>
  <c r="F92" i="5"/>
  <c r="J151" i="5"/>
  <c r="F83" i="5"/>
  <c r="G37" i="5"/>
  <c r="J137" i="5"/>
  <c r="I90" i="5"/>
  <c r="J92" i="5"/>
  <c r="H57" i="5"/>
  <c r="D92" i="5"/>
  <c r="G130" i="5"/>
  <c r="F76" i="5"/>
  <c r="G137" i="5"/>
  <c r="J90" i="5"/>
  <c r="K92" i="5"/>
  <c r="I57" i="5"/>
  <c r="H74" i="5"/>
  <c r="B53" i="5"/>
  <c r="G69" i="5"/>
  <c r="B46" i="5"/>
  <c r="H69" i="5"/>
  <c r="B112" i="5"/>
  <c r="J69" i="5"/>
  <c r="B95" i="5"/>
  <c r="K69" i="5"/>
  <c r="C145" i="5"/>
  <c r="D85" i="5"/>
  <c r="G67" i="5"/>
  <c r="D65" i="5"/>
  <c r="I95" i="5"/>
  <c r="D67" i="5"/>
  <c r="G108" i="5"/>
  <c r="J51" i="5"/>
  <c r="F112" i="5"/>
  <c r="H67" i="5"/>
  <c r="H46" i="5"/>
  <c r="H95" i="5"/>
  <c r="I108" i="5"/>
  <c r="I85" i="5"/>
  <c r="I51" i="5"/>
  <c r="H112" i="5"/>
  <c r="I172" i="5"/>
  <c r="C46" i="5"/>
  <c r="D69" i="5"/>
  <c r="C86" i="5"/>
  <c r="C108" i="5"/>
  <c r="C95" i="5"/>
  <c r="F67" i="5"/>
  <c r="F69" i="5"/>
  <c r="G98" i="5"/>
  <c r="B108" i="5"/>
  <c r="C64" i="5"/>
  <c r="H65" i="5"/>
  <c r="D129" i="5"/>
  <c r="B65" i="5"/>
  <c r="F64" i="5"/>
  <c r="G65" i="5"/>
  <c r="J57" i="5"/>
  <c r="H129" i="5"/>
  <c r="I74" i="5"/>
  <c r="I129" i="5"/>
  <c r="K74" i="5"/>
  <c r="C57" i="5"/>
  <c r="C78" i="5"/>
  <c r="B57" i="5"/>
  <c r="D179" i="5"/>
  <c r="C90" i="5"/>
  <c r="C151" i="5"/>
  <c r="B92" i="5"/>
  <c r="I179" i="5"/>
  <c r="C62" i="5"/>
  <c r="B67" i="5"/>
  <c r="H52" i="5"/>
  <c r="B174" i="5"/>
  <c r="I174" i="5"/>
  <c r="H174" i="5"/>
  <c r="D84" i="5"/>
  <c r="H84" i="5"/>
  <c r="I84" i="5"/>
  <c r="B84" i="5"/>
  <c r="J84" i="5"/>
  <c r="C39" i="5"/>
  <c r="K39" i="5"/>
  <c r="F65" i="5"/>
  <c r="J65" i="5"/>
  <c r="B129" i="5"/>
  <c r="J129" i="5"/>
  <c r="G129" i="5"/>
  <c r="F129" i="5"/>
  <c r="B71" i="5"/>
  <c r="I71" i="5"/>
  <c r="C71" i="5"/>
  <c r="H71" i="5"/>
  <c r="F71" i="5"/>
  <c r="B37" i="5"/>
  <c r="F37" i="5"/>
  <c r="J37" i="5"/>
  <c r="B151" i="5"/>
  <c r="K151" i="5"/>
  <c r="I151" i="5"/>
  <c r="H151" i="5"/>
  <c r="C164" i="5"/>
  <c r="K164" i="5"/>
  <c r="H164" i="5"/>
  <c r="I164" i="5"/>
  <c r="K173" i="5"/>
  <c r="I173" i="5"/>
  <c r="D173" i="5"/>
  <c r="C173" i="5"/>
  <c r="J173" i="5"/>
  <c r="J34" i="5"/>
  <c r="B34" i="5"/>
  <c r="I34" i="5"/>
  <c r="F34" i="5"/>
  <c r="C34" i="5"/>
  <c r="D34" i="5"/>
  <c r="D130" i="5"/>
  <c r="J130" i="5"/>
  <c r="I130" i="5"/>
  <c r="F130" i="5"/>
  <c r="B74" i="5"/>
  <c r="G74" i="5"/>
  <c r="J74" i="5"/>
  <c r="D74" i="5"/>
  <c r="J76" i="5"/>
  <c r="I76" i="5"/>
  <c r="G76" i="5"/>
  <c r="K76" i="5"/>
  <c r="D76" i="5"/>
  <c r="G90" i="5"/>
  <c r="H90" i="5"/>
  <c r="F90" i="5"/>
  <c r="I92" i="5"/>
  <c r="H92" i="5"/>
  <c r="G92" i="5"/>
  <c r="F96" i="5"/>
  <c r="C96" i="5"/>
  <c r="B96" i="5"/>
  <c r="D96" i="5"/>
  <c r="C79" i="5"/>
  <c r="I79" i="5"/>
  <c r="G79" i="5"/>
  <c r="D79" i="5"/>
  <c r="H79" i="5"/>
  <c r="I53" i="5"/>
  <c r="K53" i="5"/>
  <c r="H53" i="5"/>
  <c r="K57" i="5"/>
  <c r="G57" i="5"/>
  <c r="F57" i="5"/>
  <c r="B73" i="5"/>
  <c r="K73" i="5"/>
  <c r="I73" i="5"/>
  <c r="G73" i="5"/>
  <c r="K83" i="5"/>
  <c r="C83" i="5"/>
  <c r="J83" i="5"/>
  <c r="I83" i="5"/>
  <c r="B83" i="5"/>
  <c r="D83" i="5"/>
  <c r="C56" i="5"/>
  <c r="G56" i="5"/>
  <c r="C68" i="5"/>
  <c r="H68" i="5"/>
  <c r="F72" i="5"/>
  <c r="D72" i="5"/>
  <c r="I55" i="5"/>
  <c r="J55" i="5"/>
  <c r="K55" i="5"/>
  <c r="B123" i="5"/>
  <c r="I123" i="5"/>
  <c r="F123" i="5"/>
  <c r="G123" i="5"/>
  <c r="J72" i="5"/>
  <c r="D59" i="5"/>
  <c r="F106" i="5"/>
  <c r="B106" i="5"/>
  <c r="B66" i="5"/>
  <c r="C66" i="5"/>
  <c r="K93" i="5"/>
  <c r="D71" i="5"/>
  <c r="B50" i="5"/>
  <c r="K50" i="5"/>
  <c r="D52" i="5"/>
  <c r="G52" i="5"/>
  <c r="K142" i="5"/>
  <c r="J66" i="5"/>
  <c r="I68" i="5"/>
  <c r="K105" i="5"/>
  <c r="B41" i="5"/>
  <c r="B38" i="5"/>
  <c r="I38" i="5"/>
  <c r="I59" i="5"/>
  <c r="I66" i="5"/>
  <c r="D117" i="5"/>
  <c r="H56" i="5"/>
  <c r="J106" i="5"/>
  <c r="H41" i="5"/>
  <c r="K66" i="5"/>
  <c r="B142" i="5"/>
  <c r="C93" i="5"/>
  <c r="F41" i="5"/>
  <c r="K106" i="5"/>
  <c r="G142" i="5"/>
  <c r="K59" i="5"/>
  <c r="F50" i="5"/>
  <c r="G41" i="5"/>
  <c r="J59" i="5"/>
  <c r="K52" i="5"/>
  <c r="K68" i="5"/>
  <c r="C142" i="5"/>
  <c r="J47" i="5"/>
  <c r="H123" i="5"/>
  <c r="I52" i="5"/>
  <c r="D132" i="5"/>
  <c r="H54" i="5"/>
  <c r="J56" i="5"/>
  <c r="J68" i="5"/>
  <c r="D93" i="5"/>
  <c r="H105" i="5"/>
  <c r="G117" i="5"/>
  <c r="B55" i="5"/>
  <c r="B93" i="5"/>
  <c r="C106" i="5"/>
  <c r="D38" i="5"/>
  <c r="G43" i="5"/>
  <c r="H142" i="5"/>
  <c r="F38" i="5"/>
  <c r="H50" i="5"/>
  <c r="K123" i="5"/>
  <c r="K56" i="5"/>
  <c r="H93" i="5"/>
  <c r="I105" i="5"/>
  <c r="H117" i="5"/>
  <c r="B40" i="5"/>
  <c r="B47" i="5"/>
  <c r="D55" i="5"/>
  <c r="B105" i="5"/>
  <c r="D106" i="5"/>
  <c r="C123" i="5"/>
  <c r="D50" i="5"/>
  <c r="F60" i="5"/>
  <c r="D41" i="5"/>
  <c r="F142" i="5"/>
  <c r="K47" i="5"/>
  <c r="I72" i="5"/>
  <c r="G38" i="5"/>
  <c r="G50" i="5"/>
  <c r="F40" i="5"/>
  <c r="G47" i="5"/>
  <c r="I41" i="5"/>
  <c r="F66" i="5"/>
  <c r="D68" i="5"/>
  <c r="F93" i="5"/>
  <c r="F105" i="5"/>
  <c r="I117" i="5"/>
  <c r="C52" i="5"/>
  <c r="B56" i="5"/>
  <c r="C105" i="5"/>
  <c r="H55" i="5"/>
  <c r="G106" i="5"/>
  <c r="I142" i="5"/>
  <c r="G59" i="5"/>
  <c r="H72" i="5"/>
  <c r="H38" i="5"/>
  <c r="I50" i="5"/>
  <c r="I40" i="5"/>
  <c r="H66" i="5"/>
  <c r="D56" i="5"/>
  <c r="F68" i="5"/>
  <c r="G93" i="5"/>
  <c r="G105" i="5"/>
  <c r="J117" i="5"/>
  <c r="B52" i="5"/>
  <c r="B68" i="5"/>
  <c r="B117" i="5"/>
  <c r="F47" i="5"/>
  <c r="K38" i="5"/>
  <c r="J93" i="5"/>
  <c r="H47" i="5"/>
  <c r="C38" i="5"/>
  <c r="J123" i="5"/>
  <c r="I56" i="5"/>
  <c r="D105" i="5"/>
  <c r="F117" i="5"/>
  <c r="D123" i="5"/>
  <c r="K60" i="5"/>
  <c r="K41" i="5"/>
  <c r="C59" i="5"/>
  <c r="F55" i="5"/>
  <c r="I47" i="5"/>
  <c r="G72" i="5"/>
  <c r="J52" i="5"/>
  <c r="J41" i="5"/>
  <c r="D66" i="5"/>
  <c r="C139" i="5"/>
  <c r="C55" i="5"/>
  <c r="J142" i="5"/>
  <c r="F59" i="5"/>
  <c r="K72" i="5"/>
  <c r="J132" i="5"/>
  <c r="J38" i="5"/>
  <c r="J50" i="5"/>
  <c r="J111" i="5"/>
  <c r="G66" i="5"/>
  <c r="F56" i="5"/>
  <c r="G68" i="5"/>
  <c r="K117" i="5"/>
  <c r="B72" i="5"/>
  <c r="C75" i="5"/>
  <c r="G60" i="5"/>
  <c r="I132" i="5"/>
  <c r="K111" i="5"/>
  <c r="J40" i="5"/>
  <c r="F136" i="5"/>
  <c r="H149" i="5"/>
  <c r="I102" i="5"/>
  <c r="D141" i="5"/>
  <c r="D145" i="5"/>
  <c r="B60" i="5"/>
  <c r="I60" i="5"/>
  <c r="G136" i="5"/>
  <c r="K149" i="5"/>
  <c r="K102" i="5"/>
  <c r="H141" i="5"/>
  <c r="G145" i="5"/>
  <c r="K35" i="5"/>
  <c r="H132" i="5"/>
  <c r="J60" i="5"/>
  <c r="K132" i="5"/>
  <c r="H136" i="5"/>
  <c r="I149" i="5"/>
  <c r="F141" i="5"/>
  <c r="F145" i="5"/>
  <c r="C141" i="5"/>
  <c r="K136" i="5"/>
  <c r="J149" i="5"/>
  <c r="G141" i="5"/>
  <c r="I145" i="5"/>
  <c r="H60" i="5"/>
  <c r="I136" i="5"/>
  <c r="I141" i="5"/>
  <c r="H145" i="5"/>
  <c r="C149" i="5"/>
  <c r="B91" i="5"/>
  <c r="F85" i="5"/>
  <c r="J136" i="5"/>
  <c r="J141" i="5"/>
  <c r="K145" i="5"/>
  <c r="C91" i="5"/>
  <c r="F91" i="5"/>
  <c r="D40" i="5"/>
  <c r="G91" i="5"/>
  <c r="D149" i="5"/>
  <c r="G85" i="5"/>
  <c r="K141" i="5"/>
  <c r="J145" i="5"/>
  <c r="I91" i="5"/>
  <c r="F35" i="5"/>
  <c r="H85" i="5"/>
  <c r="G111" i="5"/>
  <c r="G40" i="5"/>
  <c r="D102" i="5"/>
  <c r="B132" i="5"/>
  <c r="B136" i="5"/>
  <c r="J35" i="5"/>
  <c r="K85" i="5"/>
  <c r="H111" i="5"/>
  <c r="F149" i="5"/>
  <c r="H40" i="5"/>
  <c r="G102" i="5"/>
  <c r="C136" i="5"/>
  <c r="K91" i="5"/>
  <c r="J91" i="5"/>
  <c r="F132" i="5"/>
  <c r="D111" i="5"/>
  <c r="F111" i="5"/>
  <c r="H35" i="5"/>
  <c r="J85" i="5"/>
  <c r="I111" i="5"/>
  <c r="K40" i="5"/>
  <c r="H102" i="5"/>
  <c r="C132" i="5"/>
  <c r="B111" i="5"/>
  <c r="C69" i="5"/>
  <c r="C47" i="5"/>
  <c r="C60" i="5"/>
  <c r="C72" i="5"/>
  <c r="C35" i="5"/>
  <c r="B164" i="5"/>
  <c r="D35" i="5"/>
  <c r="B116" i="5"/>
  <c r="C51" i="5"/>
  <c r="D49" i="5"/>
  <c r="F70" i="5"/>
  <c r="J49" i="5"/>
  <c r="G89" i="5"/>
  <c r="G49" i="5"/>
  <c r="J39" i="5"/>
  <c r="H70" i="5"/>
  <c r="H49" i="5"/>
  <c r="H89" i="5"/>
  <c r="B80" i="5"/>
  <c r="D70" i="5"/>
  <c r="G70" i="5"/>
  <c r="I70" i="5"/>
  <c r="I49" i="5"/>
  <c r="K89" i="5"/>
  <c r="C70" i="5"/>
  <c r="C174" i="5"/>
  <c r="C80" i="5"/>
  <c r="K70" i="5"/>
  <c r="K49" i="5"/>
  <c r="J89" i="5"/>
  <c r="D174" i="5"/>
  <c r="D80" i="5"/>
  <c r="D62" i="5"/>
  <c r="C89" i="5"/>
  <c r="F89" i="5"/>
  <c r="D89" i="5"/>
  <c r="C49" i="5"/>
  <c r="I89" i="5"/>
  <c r="F174" i="5"/>
  <c r="F80" i="5"/>
  <c r="F62" i="5"/>
  <c r="H62" i="5"/>
  <c r="G174" i="5"/>
  <c r="H80" i="5"/>
  <c r="G62" i="5"/>
  <c r="B62" i="5"/>
  <c r="I39" i="5"/>
  <c r="J174" i="5"/>
  <c r="K80" i="5"/>
  <c r="I62" i="5"/>
  <c r="J62" i="5"/>
  <c r="H39" i="5"/>
  <c r="K174" i="5"/>
  <c r="B39" i="5"/>
  <c r="B48" i="5"/>
  <c r="C171" i="5"/>
  <c r="C130" i="5"/>
  <c r="B87" i="5"/>
  <c r="B99" i="5"/>
  <c r="J116" i="5"/>
  <c r="C94" i="5"/>
  <c r="B94" i="5"/>
  <c r="K54" i="5"/>
  <c r="K116" i="5"/>
  <c r="J172" i="5"/>
  <c r="J54" i="5"/>
  <c r="I54" i="5"/>
  <c r="F172" i="5"/>
  <c r="J133" i="5"/>
  <c r="G94" i="5"/>
  <c r="G86" i="5"/>
  <c r="B172" i="5"/>
  <c r="B43" i="5"/>
  <c r="D86" i="5"/>
  <c r="H94" i="5"/>
  <c r="D172" i="5"/>
  <c r="I43" i="5"/>
  <c r="I94" i="5"/>
  <c r="G88" i="5"/>
  <c r="D116" i="5"/>
  <c r="H86" i="5"/>
  <c r="C172" i="5"/>
  <c r="C54" i="5"/>
  <c r="F43" i="5"/>
  <c r="D94" i="5"/>
  <c r="B36" i="5"/>
  <c r="F86" i="5"/>
  <c r="C43" i="5"/>
  <c r="K43" i="5"/>
  <c r="J94" i="5"/>
  <c r="J88" i="5"/>
  <c r="G172" i="5"/>
  <c r="F54" i="5"/>
  <c r="F116" i="5"/>
  <c r="I86" i="5"/>
  <c r="D43" i="5"/>
  <c r="B54" i="5"/>
  <c r="C116" i="5"/>
  <c r="B86" i="5"/>
  <c r="H43" i="5"/>
  <c r="F94" i="5"/>
  <c r="H172" i="5"/>
  <c r="D54" i="5"/>
  <c r="G116" i="5"/>
  <c r="J86" i="5"/>
  <c r="I134" i="5"/>
  <c r="I154" i="5"/>
  <c r="K135" i="5"/>
  <c r="K78" i="5"/>
  <c r="D126" i="5"/>
  <c r="I165" i="5"/>
  <c r="G179" i="5"/>
  <c r="K122" i="5"/>
  <c r="C118" i="5"/>
  <c r="D64" i="5"/>
  <c r="D101" i="5"/>
  <c r="G126" i="5"/>
  <c r="K165" i="5"/>
  <c r="F179" i="5"/>
  <c r="C122" i="5"/>
  <c r="D120" i="5"/>
  <c r="I126" i="5"/>
  <c r="J165" i="5"/>
  <c r="H179" i="5"/>
  <c r="B120" i="5"/>
  <c r="B64" i="5"/>
  <c r="C102" i="5"/>
  <c r="K126" i="5"/>
  <c r="J104" i="5"/>
  <c r="J179" i="5"/>
  <c r="I120" i="5"/>
  <c r="H64" i="5"/>
  <c r="D138" i="5"/>
  <c r="K179" i="5"/>
  <c r="B126" i="5"/>
  <c r="B122" i="5"/>
  <c r="J120" i="5"/>
  <c r="I64" i="5"/>
  <c r="F78" i="5"/>
  <c r="J150" i="5"/>
  <c r="H122" i="5"/>
  <c r="C179" i="5"/>
  <c r="C126" i="5"/>
  <c r="B44" i="5"/>
  <c r="F118" i="5"/>
  <c r="G118" i="5"/>
  <c r="H120" i="5"/>
  <c r="K64" i="5"/>
  <c r="D78" i="5"/>
  <c r="D122" i="5"/>
  <c r="B118" i="5"/>
  <c r="B138" i="5"/>
  <c r="C165" i="5"/>
  <c r="K120" i="5"/>
  <c r="J64" i="5"/>
  <c r="H78" i="5"/>
  <c r="D165" i="5"/>
  <c r="F122" i="5"/>
  <c r="B165" i="5"/>
  <c r="G120" i="5"/>
  <c r="H118" i="5"/>
  <c r="I118" i="5"/>
  <c r="G78" i="5"/>
  <c r="F165" i="5"/>
  <c r="G122" i="5"/>
  <c r="C120" i="5"/>
  <c r="J118" i="5"/>
  <c r="I78" i="5"/>
  <c r="C138" i="5"/>
  <c r="B150" i="5"/>
  <c r="G168" i="5"/>
  <c r="G138" i="5"/>
  <c r="C150" i="5"/>
  <c r="F138" i="5"/>
  <c r="J168" i="5"/>
  <c r="K150" i="5"/>
  <c r="H138" i="5"/>
  <c r="G157" i="5"/>
  <c r="H168" i="5"/>
  <c r="I138" i="5"/>
  <c r="D157" i="5"/>
  <c r="I168" i="5"/>
  <c r="K138" i="5"/>
  <c r="K168" i="5"/>
  <c r="F157" i="5"/>
  <c r="F150" i="5"/>
  <c r="J157" i="5"/>
  <c r="D150" i="5"/>
  <c r="I157" i="5"/>
  <c r="B168" i="5"/>
  <c r="I150" i="5"/>
  <c r="H157" i="5"/>
  <c r="C168" i="5"/>
  <c r="D168" i="5"/>
  <c r="G150" i="5"/>
  <c r="K157" i="5"/>
  <c r="C157" i="5"/>
  <c r="F98" i="5"/>
  <c r="C163" i="5"/>
  <c r="H98" i="5"/>
  <c r="C160" i="5"/>
  <c r="K98" i="5"/>
  <c r="B139" i="5"/>
  <c r="K160" i="5"/>
  <c r="C98" i="5"/>
  <c r="F139" i="5"/>
  <c r="G160" i="5"/>
  <c r="I160" i="5"/>
  <c r="J160" i="5"/>
  <c r="F160" i="5"/>
  <c r="D139" i="5"/>
  <c r="I139" i="5"/>
  <c r="K163" i="5"/>
  <c r="D163" i="5"/>
  <c r="H160" i="5"/>
  <c r="I98" i="5"/>
  <c r="J98" i="5"/>
  <c r="H163" i="5"/>
  <c r="I163" i="5"/>
  <c r="J163" i="5"/>
  <c r="H139" i="5"/>
  <c r="D160" i="5"/>
  <c r="K139" i="5"/>
  <c r="B163" i="5"/>
  <c r="G139" i="5"/>
  <c r="G163" i="5"/>
  <c r="D98" i="5"/>
  <c r="H153" i="5"/>
  <c r="I153" i="5"/>
  <c r="G155" i="5"/>
  <c r="G153" i="5"/>
  <c r="F155" i="5"/>
  <c r="K153" i="5"/>
  <c r="H155" i="5"/>
  <c r="J153" i="5"/>
  <c r="J155" i="5"/>
  <c r="B153" i="5"/>
  <c r="D153" i="5"/>
  <c r="I155" i="5"/>
  <c r="D170" i="5"/>
  <c r="K155" i="5"/>
  <c r="F170" i="5"/>
  <c r="I170" i="5"/>
  <c r="K170" i="5"/>
  <c r="D104" i="5"/>
  <c r="C154" i="5"/>
  <c r="H101" i="5"/>
  <c r="F104" i="5"/>
  <c r="G154" i="5"/>
  <c r="J101" i="5"/>
  <c r="G104" i="5"/>
  <c r="G135" i="5"/>
  <c r="H154" i="5"/>
  <c r="I135" i="5"/>
  <c r="I101" i="5"/>
  <c r="K104" i="5"/>
  <c r="B101" i="5"/>
  <c r="B104" i="5"/>
  <c r="F154" i="5"/>
  <c r="K101" i="5"/>
  <c r="H104" i="5"/>
  <c r="D135" i="5"/>
  <c r="F135" i="5"/>
  <c r="J154" i="5"/>
  <c r="H135" i="5"/>
  <c r="I104" i="5"/>
  <c r="C101" i="5"/>
  <c r="K154" i="5"/>
  <c r="B154" i="5"/>
  <c r="F101" i="5"/>
  <c r="J135" i="5"/>
  <c r="C153" i="5"/>
  <c r="C147" i="5"/>
  <c r="B143" i="5"/>
  <c r="C135" i="5"/>
  <c r="G170" i="5"/>
  <c r="H170" i="5"/>
  <c r="J170" i="5"/>
  <c r="C155" i="5"/>
  <c r="D155" i="5"/>
  <c r="C170" i="5"/>
  <c r="F133" i="5"/>
  <c r="F134" i="5"/>
  <c r="F88" i="5"/>
  <c r="G133" i="5"/>
  <c r="G134" i="5"/>
  <c r="H134" i="5"/>
  <c r="K88" i="5"/>
  <c r="H133" i="5"/>
  <c r="J134" i="5"/>
  <c r="H88" i="5"/>
  <c r="I133" i="5"/>
  <c r="D88" i="5"/>
  <c r="I88" i="5"/>
  <c r="K133" i="5"/>
  <c r="K134" i="5"/>
  <c r="C133" i="5"/>
  <c r="C134" i="5"/>
  <c r="D133" i="5"/>
  <c r="D134" i="5"/>
  <c r="C88" i="5"/>
  <c r="G158" i="5"/>
  <c r="H166" i="5"/>
  <c r="I166" i="5"/>
  <c r="F156" i="5"/>
  <c r="J166" i="5"/>
  <c r="K159" i="5"/>
  <c r="G166" i="5"/>
  <c r="G159" i="5"/>
  <c r="J159" i="5"/>
  <c r="I159" i="5"/>
  <c r="B156" i="5"/>
  <c r="K166" i="5"/>
  <c r="H159" i="5"/>
  <c r="G156" i="5"/>
  <c r="C156" i="5"/>
  <c r="D159" i="5"/>
  <c r="F159" i="5"/>
  <c r="K156" i="5"/>
  <c r="I156" i="5"/>
  <c r="B166" i="5"/>
  <c r="H156" i="5"/>
  <c r="J156" i="5"/>
  <c r="C166" i="5"/>
  <c r="F152" i="5"/>
  <c r="F158" i="5"/>
  <c r="I152" i="5"/>
  <c r="I158" i="5"/>
  <c r="G152" i="5"/>
  <c r="J158" i="5"/>
  <c r="H152" i="5"/>
  <c r="K158" i="5"/>
  <c r="K152" i="5"/>
  <c r="C158" i="5"/>
  <c r="J152" i="5"/>
  <c r="B152" i="5"/>
  <c r="D158" i="5"/>
  <c r="H158" i="5"/>
  <c r="I77" i="5"/>
  <c r="H103" i="5"/>
  <c r="H144" i="5"/>
  <c r="K100" i="5"/>
  <c r="F169" i="5"/>
  <c r="B159" i="5"/>
  <c r="I144" i="5"/>
  <c r="F100" i="5"/>
  <c r="K103" i="5"/>
  <c r="K144" i="5"/>
  <c r="K169" i="5"/>
  <c r="F103" i="5"/>
  <c r="D100" i="5"/>
  <c r="J169" i="5"/>
  <c r="D77" i="5"/>
  <c r="G77" i="5"/>
  <c r="C2" i="5"/>
  <c r="J144" i="5"/>
  <c r="D144" i="5"/>
  <c r="J77" i="5"/>
  <c r="I169" i="5"/>
  <c r="C103" i="5"/>
  <c r="F77" i="5"/>
  <c r="H100" i="5"/>
  <c r="K77" i="5"/>
  <c r="C169" i="5"/>
  <c r="B103" i="5"/>
  <c r="G103" i="5"/>
  <c r="G100" i="5"/>
  <c r="D169" i="5"/>
  <c r="B144" i="5"/>
  <c r="D103" i="5"/>
  <c r="G169" i="5"/>
  <c r="B100" i="5"/>
  <c r="B77" i="5"/>
  <c r="J103" i="5"/>
  <c r="I100" i="5"/>
  <c r="G144" i="5"/>
  <c r="J100" i="5"/>
  <c r="H77" i="5"/>
  <c r="H169" i="5"/>
  <c r="H2" i="5"/>
  <c r="C144" i="5"/>
  <c r="D2" i="5"/>
  <c r="G2" i="5"/>
  <c r="I2" i="5"/>
  <c r="K2" i="5"/>
  <c r="B2" i="5"/>
  <c r="J2" i="5"/>
  <c r="G55" i="5"/>
</calcChain>
</file>

<file path=xl/sharedStrings.xml><?xml version="1.0" encoding="utf-8"?>
<sst xmlns="http://schemas.openxmlformats.org/spreadsheetml/2006/main" count="6397" uniqueCount="1955">
  <si>
    <t>ID Unique</t>
  </si>
  <si>
    <t>Latitude</t>
  </si>
  <si>
    <t>Longitude</t>
  </si>
  <si>
    <t>Fournisseur</t>
  </si>
  <si>
    <t>Logo</t>
  </si>
  <si>
    <t>Category</t>
  </si>
  <si>
    <t>Supplier Site Code</t>
  </si>
  <si>
    <t>Orange Site Code</t>
  </si>
  <si>
    <t>Address</t>
  </si>
  <si>
    <t>City / Country</t>
  </si>
  <si>
    <t>Proximity Service Description</t>
  </si>
  <si>
    <t>Nombre de Type of DC</t>
  </si>
  <si>
    <t>Type of DC</t>
  </si>
  <si>
    <t>Zone</t>
  </si>
  <si>
    <t>Country</t>
  </si>
  <si>
    <t>1 - Major</t>
  </si>
  <si>
    <t>2 - Opportunistic</t>
  </si>
  <si>
    <t>Total général</t>
  </si>
  <si>
    <t>AME</t>
  </si>
  <si>
    <t>Brazil</t>
  </si>
  <si>
    <t>Costa Rica</t>
  </si>
  <si>
    <t>United States</t>
  </si>
  <si>
    <t>Total AME</t>
  </si>
  <si>
    <t>APAC</t>
  </si>
  <si>
    <t>Australia</t>
  </si>
  <si>
    <t>China</t>
  </si>
  <si>
    <t>India</t>
  </si>
  <si>
    <t>Japan</t>
  </si>
  <si>
    <t>Singapore</t>
  </si>
  <si>
    <t>Total APAC</t>
  </si>
  <si>
    <t>EMEA</t>
  </si>
  <si>
    <t>France</t>
  </si>
  <si>
    <t>Germany</t>
  </si>
  <si>
    <t>Italy</t>
  </si>
  <si>
    <t>Ivory Coast</t>
  </si>
  <si>
    <t>Maroc</t>
  </si>
  <si>
    <t>Netherlands</t>
  </si>
  <si>
    <t>Norway</t>
  </si>
  <si>
    <t>Poland</t>
  </si>
  <si>
    <t>Russia</t>
  </si>
  <si>
    <t>Senegal</t>
  </si>
  <si>
    <t>South Africa</t>
  </si>
  <si>
    <t>Spain</t>
  </si>
  <si>
    <t>Switzerland</t>
  </si>
  <si>
    <t>UAE</t>
  </si>
  <si>
    <t>United Kingdom</t>
  </si>
  <si>
    <t>Total EMEA</t>
  </si>
  <si>
    <t>Region</t>
  </si>
  <si>
    <t>Cluster City</t>
  </si>
  <si>
    <t>City Area</t>
  </si>
  <si>
    <t>Supplier</t>
  </si>
  <si>
    <t>Site Code Orange</t>
  </si>
  <si>
    <t>Datacenter name (supplier code)</t>
  </si>
  <si>
    <t>Affichage DCMAP (O/N)</t>
  </si>
  <si>
    <t>DC Manager</t>
  </si>
  <si>
    <t>Plazza Proximity</t>
  </si>
  <si>
    <t>LAM</t>
  </si>
  <si>
    <t>Argentina</t>
  </si>
  <si>
    <t>Buenos Aires</t>
  </si>
  <si>
    <t>Cirion Argentina</t>
  </si>
  <si>
    <t>BUEL01</t>
  </si>
  <si>
    <t>Av. del Campo 1301, Buenos Aires, Argentine</t>
  </si>
  <si>
    <t>BUE1</t>
  </si>
  <si>
    <t>3 - Opportunistic not to promote</t>
  </si>
  <si>
    <t>Arnaud GIRAUD</t>
  </si>
  <si>
    <t>-34.59002</t>
  </si>
  <si>
    <t>-58.46698190000001</t>
  </si>
  <si>
    <t>To be done</t>
  </si>
  <si>
    <t>Sydney</t>
  </si>
  <si>
    <t>Equant</t>
  </si>
  <si>
    <t>SYDX01</t>
  </si>
  <si>
    <t xml:space="preserve">Unit 8,  5 Talavera Road,  Macquarie Park, NSW, 2113
</t>
  </si>
  <si>
    <t>North Ryde SYDX01</t>
  </si>
  <si>
    <t>5 - Closed</t>
  </si>
  <si>
    <t>John YIP</t>
  </si>
  <si>
    <t>-33.7838685</t>
  </si>
  <si>
    <t>151.1317254</t>
  </si>
  <si>
    <t>Brisbane</t>
  </si>
  <si>
    <t>Equinix</t>
  </si>
  <si>
    <t>BNET01</t>
  </si>
  <si>
    <t>Fortitude Valley, Bowen Hills Brisbane, Australie , QLD 4006</t>
  </si>
  <si>
    <t>BR1</t>
  </si>
  <si>
    <t>-27.457826</t>
  </si>
  <si>
    <t>153.0356579</t>
  </si>
  <si>
    <t>https://plazza.orange.com/docs/DOC-2345828</t>
  </si>
  <si>
    <t>Melbourne</t>
  </si>
  <si>
    <t>Port Melbourne</t>
  </si>
  <si>
    <t>not found on GINI</t>
  </si>
  <si>
    <t>Equinix ME1 Data Centre, 578 Lorimer Street, Port Melbourne,, AU, VIC 3207</t>
  </si>
  <si>
    <t>ME1</t>
  </si>
  <si>
    <t>-37.8230112</t>
  </si>
  <si>
    <t>144.9153835</t>
  </si>
  <si>
    <t>Perth</t>
  </si>
  <si>
    <t>Bently</t>
  </si>
  <si>
    <t>Vocus</t>
  </si>
  <si>
    <t>Vocus VDC-PER02 Data Centre., 5 Watts Place, Bentley WA 6102, Australia.</t>
  </si>
  <si>
    <t>VDC-PER02</t>
  </si>
  <si>
    <t>-31.9962499</t>
  </si>
  <si>
    <t>115.8884299</t>
  </si>
  <si>
    <t>Alexandria</t>
  </si>
  <si>
    <t>Equinix SY4 Data Centre, 200 Bourke Road, Alexandria, Sydney, NSW 2015 AU</t>
  </si>
  <si>
    <t>SY4</t>
  </si>
  <si>
    <t>-33.9182045</t>
  </si>
  <si>
    <t>151.1893617</t>
  </si>
  <si>
    <t>Equinix SY6 Data Centre, 8-14 Egerton St, Silverwater, Sydney, NSW 2128, Australia</t>
  </si>
  <si>
    <t>SY6</t>
  </si>
  <si>
    <t>-33.83701300000001</t>
  </si>
  <si>
    <t>151.053381</t>
  </si>
  <si>
    <t>Wollongong</t>
  </si>
  <si>
    <t>Equinix SY7 Data Centre, Lot 102 Lathe Place, Unanderra, Wollongong, NSW 2526, Australia</t>
  </si>
  <si>
    <t>SY7</t>
  </si>
  <si>
    <t>-34.4629821</t>
  </si>
  <si>
    <t>150.8578338</t>
  </si>
  <si>
    <t>Equinix SY1 Data Centre, 639 Gardeners Road, Unit B, Mascot, Sydney, NSW 2020, Australia</t>
  </si>
  <si>
    <t>SY1</t>
  </si>
  <si>
    <t>-33.9213904</t>
  </si>
  <si>
    <t>151.1882048</t>
  </si>
  <si>
    <t>SYDD02</t>
  </si>
  <si>
    <t>Equinix SY2 Data Centre, 639 Gardeners Road, Unit C, Mascot, Sydney, NSW 2020, Australia</t>
  </si>
  <si>
    <t>SY2</t>
  </si>
  <si>
    <t>-33.9218878</t>
  </si>
  <si>
    <t>151.1881905</t>
  </si>
  <si>
    <t>Equinix SY3 Data Centre, 47 Bourke Road,  Alexandria, Sydney, NSW 2015, Australia</t>
  </si>
  <si>
    <t>SY3</t>
  </si>
  <si>
    <t>-33.9117762</t>
  </si>
  <si>
    <t>151.1929422</t>
  </si>
  <si>
    <t>Belgium</t>
  </si>
  <si>
    <t>Brussel</t>
  </si>
  <si>
    <t>Mobistar</t>
  </si>
  <si>
    <t>BRUT03</t>
  </si>
  <si>
    <t xml:space="preserve">Mobistar Datacenter Nossegem
Leuvensesteenweg 641,1930 Zaventem, Belgium
</t>
  </si>
  <si>
    <t>Stuart DC</t>
  </si>
  <si>
    <t>Mohamed SAMIR</t>
  </si>
  <si>
    <t>50.87765899999999</t>
  </si>
  <si>
    <t>4.5035326</t>
  </si>
  <si>
    <t>Sao Paulo</t>
  </si>
  <si>
    <t>SAOI01</t>
  </si>
  <si>
    <t>Av. Ceci, 1900 - Res. Tambore, Barueri - SP, 06460-120, Brésil</t>
  </si>
  <si>
    <t>SP4</t>
  </si>
  <si>
    <t>-23.4933594</t>
  </si>
  <si>
    <t>-46.8094334</t>
  </si>
  <si>
    <t>https://plazza.orange.com/docs/DOC-520558</t>
  </si>
  <si>
    <t>Cirion Brazil</t>
  </si>
  <si>
    <t>SAOL01</t>
  </si>
  <si>
    <t>Av. Eid Mansur, 666 - Parque São Jorge, Cotia - SP, 06708-070, Brésil</t>
  </si>
  <si>
    <t>SAO1</t>
  </si>
  <si>
    <t>-23.5979329</t>
  </si>
  <si>
    <t>-46.848808</t>
  </si>
  <si>
    <t>Rio de Janeiro</t>
  </si>
  <si>
    <t>Embratel</t>
  </si>
  <si>
    <t>RIOL02</t>
  </si>
  <si>
    <t>119 Rua Senador Pompeu, Rio de Janeiro, 20221-291, Brazil</t>
  </si>
  <si>
    <t>Embratel - Rio</t>
  </si>
  <si>
    <t>-22.9006419</t>
  </si>
  <si>
    <t>-43.188142</t>
  </si>
  <si>
    <t>Rua Voluntários da Pátria 360 - Botafogo 22270-010 Rio de Janeiro</t>
  </si>
  <si>
    <t>RJ1</t>
  </si>
  <si>
    <t>-22.9547717</t>
  </si>
  <si>
    <t>-43.1945909</t>
  </si>
  <si>
    <t>Sydel</t>
  </si>
  <si>
    <t>Av. Adolfo Pinheiro, 1.000, Cj 51/53 • Alto da Boa Vista • CEP 04734-002 • São Paulo - SP</t>
  </si>
  <si>
    <t>Sydel Sao paulo</t>
  </si>
  <si>
    <t>-23.6522787</t>
  </si>
  <si>
    <t>-46.705799</t>
  </si>
  <si>
    <t>SAOD04</t>
  </si>
  <si>
    <t>Al. Araguaia 3641 - Tamboré Barueri - SP  CEP: 06455-000</t>
  </si>
  <si>
    <t>SP2</t>
  </si>
  <si>
    <t>-23.5031326</t>
  </si>
  <si>
    <t>-46.8272798</t>
  </si>
  <si>
    <t>Telefonica</t>
  </si>
  <si>
    <t>SAOD01 / SAOD02</t>
  </si>
  <si>
    <t>The Tamboré II Data Center / Alameda Araguacema, 187 - Barueri - SP / CEP 0646  / SP SÃO PAULO / BRAZIL</t>
  </si>
  <si>
    <t>Telefonica Sao Paulo</t>
  </si>
  <si>
    <t>-23.5019755</t>
  </si>
  <si>
    <t>-46.8251239</t>
  </si>
  <si>
    <t>GRU01</t>
  </si>
  <si>
    <t xml:space="preserve">Avenida Marcos Penteado de Ulhoa Rodrigues, 249 Santana de Parnaiba/SP CEP: 06543-001 Brazil </t>
  </si>
  <si>
    <t>SP3</t>
  </si>
  <si>
    <t>-23.4663344</t>
  </si>
  <si>
    <t>-46.86328839999999</t>
  </si>
  <si>
    <t>Chile</t>
  </si>
  <si>
    <t>Santiago</t>
  </si>
  <si>
    <t>IIA</t>
  </si>
  <si>
    <t>SCLC02</t>
  </si>
  <si>
    <t>Porvenir 245, Santiago</t>
  </si>
  <si>
    <t>IIA - Santiago</t>
  </si>
  <si>
    <t>-33.4549116</t>
  </si>
  <si>
    <t>-70.632856</t>
  </si>
  <si>
    <t>Beijing</t>
  </si>
  <si>
    <t>21Vianet</t>
  </si>
  <si>
    <t>No. 596, Shenwei North Street, Yanjiao High-tech Zone, Sanhe City, Hebei Province, 河北省三河市燕郊高新区神威北大街596 号</t>
  </si>
  <si>
    <t>Yanjiao</t>
  </si>
  <si>
    <t>Raymond CHEE</t>
  </si>
  <si>
    <t>39.945997</t>
  </si>
  <si>
    <t>116.809217</t>
  </si>
  <si>
    <t>Dr. Peng</t>
  </si>
  <si>
    <t>No. 9 Jiuxianqiao North Road, Chaoyang District</t>
  </si>
  <si>
    <t>39.98794</t>
  </si>
  <si>
    <t>116.5</t>
  </si>
  <si>
    <t>https://plazza.orange.com/docs/DOC-2345841</t>
  </si>
  <si>
    <t>Shanghai</t>
  </si>
  <si>
    <t>No. 99, Fute West 1st Road, Waigaoqiao Free Trade Zone, Pudong New Area, Shanghai
上海市浦东新区外高桥保税区富特西一路99 号</t>
  </si>
  <si>
    <t>Waigaoqiao</t>
  </si>
  <si>
    <t>31.34185</t>
  </si>
  <si>
    <t>121.5909</t>
  </si>
  <si>
    <t>Hong Kong</t>
  </si>
  <si>
    <t>Tai Po</t>
  </si>
  <si>
    <t>NTT</t>
  </si>
  <si>
    <t>HKGD02</t>
  </si>
  <si>
    <t xml:space="preserve">2 Dai Hei Street,
Tai Po Industrial Park,         Tai Po, N.T.,
Hong Kong
</t>
  </si>
  <si>
    <t>NTT Tai Po</t>
  </si>
  <si>
    <t>22.453481</t>
  </si>
  <si>
    <t>114.1871295</t>
  </si>
  <si>
    <t>Equinix HK1 Data Centre, 17/F Global Gateway, 168 Yeung Uk Road, Tsuen Wan, N.T., Hong Kong</t>
  </si>
  <si>
    <t>HK1</t>
  </si>
  <si>
    <t>22.365483</t>
  </si>
  <si>
    <t>114.1193175</t>
  </si>
  <si>
    <t xml:space="preserve">Kwai Chung </t>
  </si>
  <si>
    <t>PCCW Vantage</t>
  </si>
  <si>
    <t>HKGH01</t>
  </si>
  <si>
    <t>PCCW Vantage MCX10 Data Cente, Cargo Consolidation Complex, 43 Container Port Road, Kwai Chung, Hong Kong</t>
  </si>
  <si>
    <t>MCX10</t>
  </si>
  <si>
    <t>22.3520422</t>
  </si>
  <si>
    <t>114.1237137</t>
  </si>
  <si>
    <t>Tsuen Wan</t>
  </si>
  <si>
    <t>Equinix HK3 Data Centre, 6/F, 1 Wang Wo Tsai Street, Tsuen Wan, N.T., Hong Kong</t>
  </si>
  <si>
    <t>HK3</t>
  </si>
  <si>
    <t>22.3677909</t>
  </si>
  <si>
    <t>114.1186098</t>
  </si>
  <si>
    <t>HKGD06</t>
  </si>
  <si>
    <t>Equinix HK2 Data Centre, 17/F Kerry Warehouse, 3 Shing Yiu Street, Tsuen Wan, N.T.,Hong Kong</t>
  </si>
  <si>
    <t>HK2</t>
  </si>
  <si>
    <t>22.3622845</t>
  </si>
  <si>
    <t>114.1192183</t>
  </si>
  <si>
    <t>Wanchai</t>
  </si>
  <si>
    <t>Orange</t>
  </si>
  <si>
    <t>HKGF02</t>
  </si>
  <si>
    <t>11/F, Telecom House, 3 Gloucester Road, Wanchai, Hong Kong</t>
  </si>
  <si>
    <t>HKGT01</t>
  </si>
  <si>
    <t>22.2799065</t>
  </si>
  <si>
    <t>114.170967</t>
  </si>
  <si>
    <t>HKGD01</t>
  </si>
  <si>
    <t>15/F, Tower 2, Ever Gain Plaza, 88 Container Port Road, Kwai Chung, N.T., Hong Kong</t>
  </si>
  <si>
    <t>NTT Kwai Chung</t>
  </si>
  <si>
    <t>22.3529122</t>
  </si>
  <si>
    <t>114.1245238</t>
  </si>
  <si>
    <t>Digital Realty</t>
  </si>
  <si>
    <t>No. 11 Kin Chuen Street, Kwai Chung, New Territories, Hong Kong</t>
  </si>
  <si>
    <t>22.370157° N</t>
  </si>
  <si>
    <t>114.123489° E</t>
  </si>
  <si>
    <t>Equinix SH2, Building No. 4, 700 Jinyu Road, Pudong New Area, Shanghai 201206</t>
  </si>
  <si>
    <t>SH2</t>
  </si>
  <si>
    <t>31.24734</t>
  </si>
  <si>
    <t>121.62048</t>
  </si>
  <si>
    <t>SHAH01</t>
  </si>
  <si>
    <t>Equinix SH3 Data Centre, Building No. 3, 700 Jinyu Road, Pudong New Area, Shanghai 201206</t>
  </si>
  <si>
    <t>SH3</t>
  </si>
  <si>
    <t>SHAH02</t>
  </si>
  <si>
    <t>New Address: 976 Shunping Road, Shanghai , 上海市顺平路976号</t>
  </si>
  <si>
    <t>SH5</t>
  </si>
  <si>
    <t>31.27941</t>
  </si>
  <si>
    <t>121.54721</t>
  </si>
  <si>
    <t>Shanghai Data Solution</t>
  </si>
  <si>
    <t>Shanghai Data Solution Co.,Ltd, 3F,No.23 Building 498 Guoshoujing Rd. Shanghai Pudong Software Park, Zhangjiang High Technology Park Pu Dong P.R.China, 上海市浦东郭守敬路498号23号楼3楼 吴鸿豪 13310105096</t>
  </si>
  <si>
    <t>IDX SH3</t>
  </si>
  <si>
    <t>31.20183</t>
  </si>
  <si>
    <t>121.587671</t>
  </si>
  <si>
    <t>San Jose</t>
  </si>
  <si>
    <t>ADN Datacenter</t>
  </si>
  <si>
    <t>SJOL01</t>
  </si>
  <si>
    <t>ADN Datacenters, Zona Franca SARET Edificio B8  Alajuela Costa Rica</t>
  </si>
  <si>
    <t>ADN by UFINET - San Jose</t>
  </si>
  <si>
    <t>10.0004151</t>
  </si>
  <si>
    <t>-84.1857912</t>
  </si>
  <si>
    <t>Paris</t>
  </si>
  <si>
    <t>Neuilly</t>
  </si>
  <si>
    <t>PART01</t>
  </si>
  <si>
    <t>112 Avenue Charles de Gaulle, 92522 Neuilly/Seine</t>
  </si>
  <si>
    <t>Equant PART01</t>
  </si>
  <si>
    <t>Samy TAHIRI</t>
  </si>
  <si>
    <t>48.8826709</t>
  </si>
  <si>
    <t>2.268323</t>
  </si>
  <si>
    <t>Nanterre</t>
  </si>
  <si>
    <t>Orange France</t>
  </si>
  <si>
    <t>PARH02</t>
  </si>
  <si>
    <t xml:space="preserve">24, boulevard Jules Mansard
92000 NANTERRE.
</t>
  </si>
  <si>
    <t>Nanterre - DIF</t>
  </si>
  <si>
    <t>48.8992225</t>
  </si>
  <si>
    <t>2.2111</t>
  </si>
  <si>
    <t>Marseille</t>
  </si>
  <si>
    <t>Enceinte Portuaire, Porte 4 13015, France</t>
  </si>
  <si>
    <t>MRS3</t>
  </si>
  <si>
    <t>43.3401329</t>
  </si>
  <si>
    <t>5.347538999999999</t>
  </si>
  <si>
    <t>https://plazza.orange.com/docs/DOC-2345229</t>
  </si>
  <si>
    <t>MRSF03</t>
  </si>
  <si>
    <t>40 Avenue Roger Salengro 13003, France</t>
  </si>
  <si>
    <t>MRS1</t>
  </si>
  <si>
    <t>43.3103674</t>
  </si>
  <si>
    <t>5.3733505</t>
  </si>
  <si>
    <t>La Courneuve</t>
  </si>
  <si>
    <t>2 Avenue Marcel Cachin, 93120 La Courneuve, France</t>
  </si>
  <si>
    <t>PAR8</t>
  </si>
  <si>
    <t>48.92747319999999</t>
  </si>
  <si>
    <t>2.3976544</t>
  </si>
  <si>
    <t>Saint-Denis</t>
  </si>
  <si>
    <t>11‑13 Avenue des Arts et Metiers, Saint Denis 93200, France</t>
  </si>
  <si>
    <t>PAR5</t>
  </si>
  <si>
    <t>48.9142653</t>
  </si>
  <si>
    <t>2.3621093</t>
  </si>
  <si>
    <t>Grenoble</t>
  </si>
  <si>
    <t>EOLAS</t>
  </si>
  <si>
    <t>73 Rue Général Mangin, 38100 Grenoble</t>
  </si>
  <si>
    <t>MANGIN1</t>
  </si>
  <si>
    <t>45.1684496</t>
  </si>
  <si>
    <t>5.715114</t>
  </si>
  <si>
    <t>https://plazza.orange.com/docs/DOC-2345284</t>
  </si>
  <si>
    <t>Bordeaux</t>
  </si>
  <si>
    <t>BODF03</t>
  </si>
  <si>
    <t>39 Rue de Strasbourg, 33520 Bruges</t>
  </si>
  <si>
    <t>BX1</t>
  </si>
  <si>
    <t>44.8958199</t>
  </si>
  <si>
    <t>-0.611387</t>
  </si>
  <si>
    <t>https://plazza.orange.com/docs/DOC-2345230</t>
  </si>
  <si>
    <t>Courbevoie</t>
  </si>
  <si>
    <t>167 Rue de la Belle Etoile, 95948 Roissy-en-France</t>
  </si>
  <si>
    <t>PA1</t>
  </si>
  <si>
    <t>48.9837033</t>
  </si>
  <si>
    <t>2.5071675</t>
  </si>
  <si>
    <t>https://plazza.orange.com/docs/DOC-2123449</t>
  </si>
  <si>
    <t>Saint Denis</t>
  </si>
  <si>
    <t>114 rue Ambroise Croizat, 93200 Saint Denis</t>
  </si>
  <si>
    <t>PA2</t>
  </si>
  <si>
    <t>48.92816999999999</t>
  </si>
  <si>
    <t>2.352084</t>
  </si>
  <si>
    <t>PARP29</t>
  </si>
  <si>
    <t>PA3</t>
  </si>
  <si>
    <t>Pantin</t>
  </si>
  <si>
    <t>PARP30</t>
  </si>
  <si>
    <t>110 Bis avenue du Général Leclerc, 93500, Pantin, Bâtiment 19, Pantin, FR, 93300</t>
  </si>
  <si>
    <t>PA4</t>
  </si>
  <si>
    <t>48.9013819</t>
  </si>
  <si>
    <t>2.4176467</t>
  </si>
  <si>
    <t>PARF06</t>
  </si>
  <si>
    <t>Immeuble 254, Parc Icade Les Portes de Paris, 45 Av. Victor Hugo, 93300 Aubervilliers</t>
  </si>
  <si>
    <t>PA5</t>
  </si>
  <si>
    <t>48.903717</t>
  </si>
  <si>
    <t>2.3688383</t>
  </si>
  <si>
    <t>PARP31</t>
  </si>
  <si>
    <t>10 rue Waldeck Rochet, Building 520, 93300 Aubervilliers</t>
  </si>
  <si>
    <t>PA6</t>
  </si>
  <si>
    <t>48.9104641</t>
  </si>
  <si>
    <t>2.368007</t>
  </si>
  <si>
    <t>130-136 Bd de Verdun, 92400 Courbevoie</t>
  </si>
  <si>
    <t>PA7</t>
  </si>
  <si>
    <t>48.9039991</t>
  </si>
  <si>
    <t>2.2574815</t>
  </si>
  <si>
    <t>Chartres</t>
  </si>
  <si>
    <t>Amilly</t>
  </si>
  <si>
    <t>QTJT01 / QTJT02</t>
  </si>
  <si>
    <t>Campus CVL, CCWG+MX3, 28300 Amilly</t>
  </si>
  <si>
    <t>CH1</t>
  </si>
  <si>
    <t>48.4466375</t>
  </si>
  <si>
    <t>1.4274219</t>
  </si>
  <si>
    <t>https://plazza.orange.com/docs/DOC-2239219</t>
  </si>
  <si>
    <t>Normandie</t>
  </si>
  <si>
    <t>Val de Reuil</t>
  </si>
  <si>
    <t>UROP05 / UROP06</t>
  </si>
  <si>
    <t>Data Center Normandie, 1 voie de l’orée (7 voie de l'Orée for equipment shipment), 27100 Val de Reuil.</t>
  </si>
  <si>
    <t>ND1</t>
  </si>
  <si>
    <t>49.2641249</t>
  </si>
  <si>
    <t>1.1888188</t>
  </si>
  <si>
    <t>https://plazza.orange.com/docs/DOC-516576</t>
  </si>
  <si>
    <t>ND2</t>
  </si>
  <si>
    <t>Rennes</t>
  </si>
  <si>
    <t>Cesson Sevigne</t>
  </si>
  <si>
    <t>ZFJP01</t>
  </si>
  <si>
    <t>Orange Business Services, 9 rue du chene Germain, Cesson Sevigne 35512</t>
  </si>
  <si>
    <t>Cesson</t>
  </si>
  <si>
    <t>4 - Frozen</t>
  </si>
  <si>
    <t>48.1301316</t>
  </si>
  <si>
    <t>-1.62541</t>
  </si>
  <si>
    <t>Telehouse</t>
  </si>
  <si>
    <t>38 Rue des Jeuneurs, 75002 Paris</t>
  </si>
  <si>
    <t>TH1</t>
  </si>
  <si>
    <t>48.8699839</t>
  </si>
  <si>
    <t>2.3443919</t>
  </si>
  <si>
    <t>1 Rue Pablo Picasso, 78114 Magny-les-Hameaux</t>
  </si>
  <si>
    <t>TH3</t>
  </si>
  <si>
    <t>48.7269272</t>
  </si>
  <si>
    <t>2.0814726</t>
  </si>
  <si>
    <t>https://plazza.orange.com/docs/DOC-2345228</t>
  </si>
  <si>
    <t>PARF14</t>
  </si>
  <si>
    <t>137 Bd Voltaire, 75011 Paris</t>
  </si>
  <si>
    <t>TH2</t>
  </si>
  <si>
    <t>48.85626060000001</t>
  </si>
  <si>
    <t>2.3835199</t>
  </si>
  <si>
    <t>Chevilly Larue</t>
  </si>
  <si>
    <t>PARH04</t>
  </si>
  <si>
    <t>Orange Business Services - 72-74 av. De la Republique, 94550 Chevilly-Larue</t>
  </si>
  <si>
    <t>Chevilly - DIF</t>
  </si>
  <si>
    <t>48.7612028</t>
  </si>
  <si>
    <t>2.365006</t>
  </si>
  <si>
    <t>https://plazza.orange.com/docs/DOC-516573</t>
  </si>
  <si>
    <t>Rueil-Malmaison</t>
  </si>
  <si>
    <t>QEVH01</t>
  </si>
  <si>
    <t xml:space="preserve">Orange Business Services - 90 rue Pierre Brossolette, 92500 Rueil Malmaison                                                           </t>
  </si>
  <si>
    <t>Rueil - DIF</t>
  </si>
  <si>
    <t>48.8837252</t>
  </si>
  <si>
    <t>2.1864777</t>
  </si>
  <si>
    <t>https://plazza.orange.com/docs/DOC-516575</t>
  </si>
  <si>
    <t>Frankfurt</t>
  </si>
  <si>
    <t>Rahmannstraße 11 65760 Eschborn, Germany</t>
  </si>
  <si>
    <t>Eschborn</t>
  </si>
  <si>
    <t>Alex TASSOT</t>
  </si>
  <si>
    <t>FRAT11</t>
  </si>
  <si>
    <t>Kruppstrasse 121-127, Frankfurt, Germany, 60388</t>
  </si>
  <si>
    <t>FR2</t>
  </si>
  <si>
    <t>https://plazza.orange.com/docs/DOC-723005</t>
  </si>
  <si>
    <t>FRAT10</t>
  </si>
  <si>
    <t>Larchenstrasse 110, Frankfurt, Germany, 65933</t>
  </si>
  <si>
    <t>FR4</t>
  </si>
  <si>
    <t>FRAC23</t>
  </si>
  <si>
    <t>Kleyerstraße 90 60326 Frankfurt am Main, Germany</t>
  </si>
  <si>
    <t>FR5</t>
  </si>
  <si>
    <t>FR6</t>
  </si>
  <si>
    <t>Gutleutstraße 310, 60327 Frankfurt am Main, Germany</t>
  </si>
  <si>
    <t>FR7</t>
  </si>
  <si>
    <t>FRAX01</t>
  </si>
  <si>
    <t>Munich</t>
  </si>
  <si>
    <t>MUCC11</t>
  </si>
  <si>
    <t>Seidlstraße 3, 80335 München, Germany</t>
  </si>
  <si>
    <t>MU3</t>
  </si>
  <si>
    <t>Berlin</t>
  </si>
  <si>
    <t>NTT eshelter</t>
  </si>
  <si>
    <t>Nonnendammallee 15, 13599 Berlin, Germany</t>
  </si>
  <si>
    <t>NTT eshelter Berlin</t>
  </si>
  <si>
    <t>Mumbai</t>
  </si>
  <si>
    <t>NTT Netmagic</t>
  </si>
  <si>
    <t>BOMC11</t>
  </si>
  <si>
    <t>NTT Netmagic Vikhroli DC2 Data Centre, Ground, First &amp; Second Floor, Mehra Industrial Estate, LBS Marg, Vikhroli (W) Mumbai, Maharashtra - 400079, INDIA</t>
  </si>
  <si>
    <t>Vikhroli DC2</t>
  </si>
  <si>
    <t>19.1284505</t>
  </si>
  <si>
    <t>72.9252451</t>
  </si>
  <si>
    <t>https://plazza.orange.com/docs/DOC-857750</t>
  </si>
  <si>
    <t>NTT Netmagic Vikhroli DC4 Data Centre, Ground &amp; Mezzanine Floor, Universal Knitting Mills Pvt. Limited Building, Mehra Estate, LBS marg, Vikhroli (W) Mumbai, Maharashtra - 400079, INDIA</t>
  </si>
  <si>
    <t>Vikhroli DC4</t>
  </si>
  <si>
    <t>Bangalore</t>
  </si>
  <si>
    <t>STT TCL</t>
  </si>
  <si>
    <t>BLRT07</t>
  </si>
  <si>
    <t>STT  - Bengaluru DC2 Data Centre, #18, 19 &amp; 20, EPIP Layout, KIADB, Whitefield, Bangalore, 560066, India</t>
  </si>
  <si>
    <t>12.9812299</t>
  </si>
  <si>
    <t>77.72564349999999</t>
  </si>
  <si>
    <t>NTT Netmagic Bengaluru Electronic City DC2 Data Centre, 88/A, S V R Platinum, Adjacent to K S S I D Complex, Electronic City, Phase I Bangalore, Karnataka - 560100, INDIA</t>
  </si>
  <si>
    <t>Bengaluru DC2</t>
  </si>
  <si>
    <t>12.8395548</t>
  </si>
  <si>
    <t>77.6622838</t>
  </si>
  <si>
    <t>Delhi</t>
  </si>
  <si>
    <t>DELT07</t>
  </si>
  <si>
    <t>IDC Building, Opp. Savitri Cinema Flyover, Greater Kailash - 1,</t>
  </si>
  <si>
    <t>28.5415141</t>
  </si>
  <si>
    <t>77.240201</t>
  </si>
  <si>
    <t>BOMT08</t>
  </si>
  <si>
    <t>Plot C-21 &amp; C-36, G Block, Bandra Kulrla Complex, Vidyanagari Post office, Mumbai 400098, India</t>
  </si>
  <si>
    <t>19.0636283</t>
  </si>
  <si>
    <t>72.8617897</t>
  </si>
  <si>
    <t>Milan</t>
  </si>
  <si>
    <t>Via Savona, 125, 20144 Milano MI, Italy</t>
  </si>
  <si>
    <t>ML2</t>
  </si>
  <si>
    <t>https://plazza.orange.com/docs/DOC-2346785</t>
  </si>
  <si>
    <t>Amsterdam</t>
  </si>
  <si>
    <t>AMSX01</t>
  </si>
  <si>
    <t>Triphony Building, Cessnalaan 71 . Schiphol-Rijk</t>
  </si>
  <si>
    <t>52.2820263</t>
  </si>
  <si>
    <t>4.7668214</t>
  </si>
  <si>
    <t>https://plazza.orange.com/docs/DOC-722710</t>
  </si>
  <si>
    <t>Osaka</t>
  </si>
  <si>
    <t>OSAT04</t>
  </si>
  <si>
    <t>Dojima No.1 DC, 3-1-59 Dojima Kita-Ku, Osaka-shi, Osaka, Japan</t>
  </si>
  <si>
    <t>NTT Osaka</t>
  </si>
  <si>
    <t>34.6968245</t>
  </si>
  <si>
    <t>135.491489</t>
  </si>
  <si>
    <t>https://plazza.orange.com/docs/DOC-2345843</t>
  </si>
  <si>
    <t>Equinix OS1, 1-26-1, Shinmachi, Nishi-ku, Nishi Shinsaibashi Building, Osaka, 550 0013 Japan</t>
  </si>
  <si>
    <t>OS1</t>
  </si>
  <si>
    <t>34.6757084</t>
  </si>
  <si>
    <t>135.4955913</t>
  </si>
  <si>
    <t>Tokyo</t>
  </si>
  <si>
    <t>Equinix TY6, 2-2-43, Higashi-Shinagawa,, Shinagawa-ku, Tokyo, 140 0002 Japan</t>
  </si>
  <si>
    <t>TY6</t>
  </si>
  <si>
    <t>35.6230297</t>
  </si>
  <si>
    <t>139.748141</t>
  </si>
  <si>
    <t>Equinix TY9 Data Centre, 1-12-3, Suidou, Bunkyo-ku, Tokyo, 112 0005 Japan</t>
  </si>
  <si>
    <t>TY9</t>
  </si>
  <si>
    <t>35.70871</t>
  </si>
  <si>
    <t>139.743887</t>
  </si>
  <si>
    <t>TYOC22</t>
  </si>
  <si>
    <t>Equinix TY8 Data Centre, 2-1-7, Higashi-Shinagawa, Shinagawa-ku, Tokyo, 140 0002, Japan</t>
  </si>
  <si>
    <t>TY8</t>
  </si>
  <si>
    <t>35.622121</t>
  </si>
  <si>
    <t>139.7479207</t>
  </si>
  <si>
    <t>TYOF06</t>
  </si>
  <si>
    <t>NTT Tokyo No.5 DC, 3-15-2 Bunkyo-ku,Yushima,Tokyo 113-0034, Japan</t>
  </si>
  <si>
    <t>TK5, Tokyo No.5 DC</t>
  </si>
  <si>
    <t>35.7050186</t>
  </si>
  <si>
    <t>139.7690773</t>
  </si>
  <si>
    <t>Korea</t>
  </si>
  <si>
    <t>Seoul</t>
  </si>
  <si>
    <t>LG CNS</t>
  </si>
  <si>
    <t>SELT02</t>
  </si>
  <si>
    <t>LG CNS Sangam IT Center, 4th floor 424 World cup buk-ro Mapo-gu,</t>
  </si>
  <si>
    <t>Sangam IT Center</t>
  </si>
  <si>
    <t>37.5811412</t>
  </si>
  <si>
    <t>126.8868857</t>
  </si>
  <si>
    <t>Rabat</t>
  </si>
  <si>
    <t>Orange Meditel</t>
  </si>
  <si>
    <t>RBAT02</t>
  </si>
  <si>
    <t>sis Lotissement Vita Nr. 7 Route de Casa Km 3.5 Yacoub Elmansour, Rabat Maroc</t>
  </si>
  <si>
    <t>33.98338330000001</t>
  </si>
  <si>
    <t>-6.8873077</t>
  </si>
  <si>
    <t>Casablanca</t>
  </si>
  <si>
    <t>CASA01</t>
  </si>
  <si>
    <t>Mohammed 5 Airport, Nouacer Office 2099</t>
  </si>
  <si>
    <t>33.3708103</t>
  </si>
  <si>
    <t>-7.587847699999999</t>
  </si>
  <si>
    <t>https://plazza.orange.com/docs/DOC-1122222</t>
  </si>
  <si>
    <t>Mexico</t>
  </si>
  <si>
    <t>red-IT KIO</t>
  </si>
  <si>
    <t>RED-IT  20 Boulevard Benito Juarez, corner Avenida Lopez Portillo, Neighborhood San Mateo Cuautepec, Tultitlan, State of México, 54948</t>
  </si>
  <si>
    <t>19.6281869</t>
  </si>
  <si>
    <t>-99.1521738</t>
  </si>
  <si>
    <t>NAM</t>
  </si>
  <si>
    <t>Texas</t>
  </si>
  <si>
    <t>Dallas</t>
  </si>
  <si>
    <t>Cologix</t>
  </si>
  <si>
    <t>DALL02</t>
  </si>
  <si>
    <t>1950 North Stemmons Freeway, Suites 1039A &amp; 2048, Dallas, Texas, United States of America, 75207</t>
  </si>
  <si>
    <t>DAL3</t>
  </si>
  <si>
    <t>Mark OLSZEWSKI</t>
  </si>
  <si>
    <t>32.800748</t>
  </si>
  <si>
    <t>-96.819412</t>
  </si>
  <si>
    <t>AMSC18</t>
  </si>
  <si>
    <t>EC, Luttenbergweg 4, 1101 EC Amsterdam, Pays-Bas</t>
  </si>
  <si>
    <t>AM1</t>
  </si>
  <si>
    <t>52.2999285</t>
  </si>
  <si>
    <t>4.9431207</t>
  </si>
  <si>
    <t>AM2</t>
  </si>
  <si>
    <t>AMSC17</t>
  </si>
  <si>
    <t>Schepenbergweg 42, 1105 AT Amsterdam, Pays-Bas</t>
  </si>
  <si>
    <t>AM5</t>
  </si>
  <si>
    <t>52.2933512</t>
  </si>
  <si>
    <t>4.9450536</t>
  </si>
  <si>
    <t>AMST02</t>
  </si>
  <si>
    <t>Science Park 610, 1098 XH Amsterdam, Pays-Bas</t>
  </si>
  <si>
    <t>AM3</t>
  </si>
  <si>
    <t>52.3549245</t>
  </si>
  <si>
    <t>4.960960099999999</t>
  </si>
  <si>
    <t>AM4</t>
  </si>
  <si>
    <t>Duivendrechtsekade 80A, 1096 AH Amsterdam, Pays-Bas</t>
  </si>
  <si>
    <t>AM6</t>
  </si>
  <si>
    <t>52.3371666</t>
  </si>
  <si>
    <t>4.9330682</t>
  </si>
  <si>
    <t>Interxion</t>
  </si>
  <si>
    <t>Digital Realty, Gyroscoopweg 58-60, 1042 Amsterdam, The Netherlands</t>
  </si>
  <si>
    <t>AMS2</t>
  </si>
  <si>
    <t>52.39983700000001</t>
  </si>
  <si>
    <t>4.8423269</t>
  </si>
  <si>
    <t>Digital Realty, Luttenbergweg 4, 1101 EC Amsterdam, Netherlands</t>
  </si>
  <si>
    <t>AMS5</t>
  </si>
  <si>
    <t xml:space="preserve">Michael Storrøsten </t>
  </si>
  <si>
    <t>NTT AMS1 e-shelter Amsterdam 1 Data Center, Aviolanda 1, 1437 ED Rozenburg, Pays-Bas</t>
  </si>
  <si>
    <t>AMS1</t>
  </si>
  <si>
    <t>52.2838625</t>
  </si>
  <si>
    <t>4.7449956</t>
  </si>
  <si>
    <t>California</t>
  </si>
  <si>
    <t>Los Angeles</t>
  </si>
  <si>
    <t>CoreSite</t>
  </si>
  <si>
    <t>LAXL02</t>
  </si>
  <si>
    <t>900 North Alameda Street, 90012, Los Angeles</t>
  </si>
  <si>
    <t>LA2</t>
  </si>
  <si>
    <t>34.0581105</t>
  </si>
  <si>
    <t>-118.2353984</t>
  </si>
  <si>
    <t>https://plazza.orange.com/docs/DOC-1766490</t>
  </si>
  <si>
    <t>Oslo</t>
  </si>
  <si>
    <t>Orange Digital Services Europe</t>
  </si>
  <si>
    <t>OSL4</t>
  </si>
  <si>
    <t>Selma Ellefsens vei 1, 0581 Oslo, Norway</t>
  </si>
  <si>
    <t>oslo01</t>
  </si>
  <si>
    <t>59.92504599999999</t>
  </si>
  <si>
    <t>10.8089642</t>
  </si>
  <si>
    <t>Canada</t>
  </si>
  <si>
    <t>Ontario</t>
  </si>
  <si>
    <t>Montreal</t>
  </si>
  <si>
    <t>n/a</t>
  </si>
  <si>
    <t>1155 Blvd. Robert-Bourassa, Montreal, QC H3B 3A7</t>
  </si>
  <si>
    <t>MTL7</t>
  </si>
  <si>
    <t>Toronto</t>
  </si>
  <si>
    <t>151 Front St. W, Toronto, ON M5J 2N1</t>
  </si>
  <si>
    <t>TOR1</t>
  </si>
  <si>
    <t>Romania</t>
  </si>
  <si>
    <t>Bucarest</t>
  </si>
  <si>
    <t>Orange Romania</t>
  </si>
  <si>
    <t>to be determined with GINI</t>
  </si>
  <si>
    <t>Orange Romania SA, Strada Barbu Văcărescu nr. 201A, etaj 1, București 020276</t>
  </si>
  <si>
    <t>Bucarest - Orange Romania</t>
  </si>
  <si>
    <t>44.4795248</t>
  </si>
  <si>
    <t>26.1022658</t>
  </si>
  <si>
    <t>Georgia</t>
  </si>
  <si>
    <t>Atlanta</t>
  </si>
  <si>
    <t>ATLL03</t>
  </si>
  <si>
    <t>180 Peachtree Street NW, 2nd and 6th Floors, Atlanta, Georgia, United States of America, 30303</t>
  </si>
  <si>
    <t>AT1</t>
  </si>
  <si>
    <t>33.7585633</t>
  </si>
  <si>
    <t>-84.3877746</t>
  </si>
  <si>
    <t>https://plazza.orange.com/docs/DOC-759493</t>
  </si>
  <si>
    <t>ATLL01</t>
  </si>
  <si>
    <t>56 Marietta Street NW
Atlanta, GA 30303</t>
  </si>
  <si>
    <t>AT2</t>
  </si>
  <si>
    <t>33.7554648</t>
  </si>
  <si>
    <t>-84.3914602</t>
  </si>
  <si>
    <t>Pioneer Walk</t>
  </si>
  <si>
    <t>SIND02</t>
  </si>
  <si>
    <t>Equinix SG2 Datat Centre, 15 Pioneer Walk, Singapore 627753</t>
  </si>
  <si>
    <t>SG2</t>
  </si>
  <si>
    <t>1.3213551</t>
  </si>
  <si>
    <t>103.6959206</t>
  </si>
  <si>
    <t>https://plazza.orange.com/docs/DOC-1076994</t>
  </si>
  <si>
    <t>Ayer Rajah Crescent</t>
  </si>
  <si>
    <t>SIND03</t>
  </si>
  <si>
    <t>Equinix SG3 Data Centre, 26A Ayer Rajah Crescent, 139963, Singapore</t>
  </si>
  <si>
    <t>SG3</t>
  </si>
  <si>
    <t>1.2959615</t>
  </si>
  <si>
    <t>103.7908077</t>
  </si>
  <si>
    <t>Chai Chee</t>
  </si>
  <si>
    <t>KDDI Telehouse</t>
  </si>
  <si>
    <t>SINH02</t>
  </si>
  <si>
    <t>KDDI Singapore Pte. Ltd., Block 750D, Chai Chee Road, #05-04/05 ESR BizPark @ Chai Chee
Singapore 469004</t>
  </si>
  <si>
    <t>KDDI SG</t>
  </si>
  <si>
    <t>1.322665</t>
  </si>
  <si>
    <t>103.9208339</t>
  </si>
  <si>
    <t>https://plazza.orange.com/docs/DOC-516902</t>
  </si>
  <si>
    <t>Serangoon</t>
  </si>
  <si>
    <t>SIND01</t>
  </si>
  <si>
    <t>NTT Serangoon Data Centre, 51 Serangoon North Avenue 4, Singapore 555858</t>
  </si>
  <si>
    <t>NTT SG</t>
  </si>
  <si>
    <t>1.376124</t>
  </si>
  <si>
    <t>103.875093</t>
  </si>
  <si>
    <t>https://plazza.orange.com/docs/DOC-864043</t>
  </si>
  <si>
    <t>SINX01</t>
  </si>
  <si>
    <t>Orange Business Services Singapore Pte Ltd, Block 750, Chai Chee Road, #04-01 ESR BizPark @ Chai Chee, Singapore 469000</t>
  </si>
  <si>
    <t>1.3230393</t>
  </si>
  <si>
    <t>103.9218443</t>
  </si>
  <si>
    <t>SINF11</t>
  </si>
  <si>
    <t>Equinix SG1 Data Centre, 20 Ayer Rajah Crescent, 139963, Singapore</t>
  </si>
  <si>
    <t>SG1</t>
  </si>
  <si>
    <t>1.2953133</t>
  </si>
  <si>
    <t>103.7898559</t>
  </si>
  <si>
    <t>Johannesbourg</t>
  </si>
  <si>
    <t xml:space="preserve">JNBT01 </t>
  </si>
  <si>
    <t>Johannesburg DataCenter Ground Floor, SITA Equant Building, 18 Eglin Rd, Sunninghill, Sandton, 2157</t>
  </si>
  <si>
    <t>Equant Johannesbourg</t>
  </si>
  <si>
    <t>-26.0344136</t>
  </si>
  <si>
    <t>28.067591</t>
  </si>
  <si>
    <t>Teraco</t>
  </si>
  <si>
    <t>5 Brewery St, Kempton Park, 1600 South Africa</t>
  </si>
  <si>
    <t>JB1</t>
  </si>
  <si>
    <t>-26.1379444</t>
  </si>
  <si>
    <t>28.1975458</t>
  </si>
  <si>
    <t>https://plazza.orange.com/docs/DOC-2341024</t>
  </si>
  <si>
    <t>Madrid</t>
  </si>
  <si>
    <t>Calle Albasanz 71, Madrid, 28037, Spain</t>
  </si>
  <si>
    <t>MAD1</t>
  </si>
  <si>
    <t>40.4395526</t>
  </si>
  <si>
    <t>-3.6213845</t>
  </si>
  <si>
    <t>https://plazza.orange.com/docs/DOC-2346834</t>
  </si>
  <si>
    <t>Sweden</t>
  </si>
  <si>
    <t>Stockholm</t>
  </si>
  <si>
    <t>STH2</t>
  </si>
  <si>
    <t>Hemvärnsgatan 9, 17154 Solna, Sweden</t>
  </si>
  <si>
    <t>59.35490960000001</t>
  </si>
  <si>
    <t>17.9769712</t>
  </si>
  <si>
    <t>Stack Infrastructure</t>
  </si>
  <si>
    <t>STH6</t>
  </si>
  <si>
    <t>Smedbyvägen 6, 19430 Upplands Väsby, Sweden</t>
  </si>
  <si>
    <t xml:space="preserve">STO01 </t>
  </si>
  <si>
    <t>59.509861</t>
  </si>
  <si>
    <t>17.8973689</t>
  </si>
  <si>
    <t>STH7</t>
  </si>
  <si>
    <t>Esbogatan 11, 16474 Kista, Sweden</t>
  </si>
  <si>
    <t>STO1</t>
  </si>
  <si>
    <t>59.4223074</t>
  </si>
  <si>
    <t>17.9185246</t>
  </si>
  <si>
    <t>Geneva</t>
  </si>
  <si>
    <t>GVAX01</t>
  </si>
  <si>
    <t>Equant, route des Jeunes 13bis, 1227 Carouge</t>
  </si>
  <si>
    <t>Geneva PoP GVAX01</t>
  </si>
  <si>
    <t>Safehost</t>
  </si>
  <si>
    <t>GVA09</t>
  </si>
  <si>
    <t>Chem. du Pré-Fleuri 20, 1228 Plan-les-Ouates, Switzerland</t>
  </si>
  <si>
    <t>Geneva - Safehost</t>
  </si>
  <si>
    <t>Zurich</t>
  </si>
  <si>
    <t>ZRHX02</t>
  </si>
  <si>
    <t>Albulastrasse 55, 8048 Zürich, Switzerland</t>
  </si>
  <si>
    <t>Zurich - PoP ZRHX02</t>
  </si>
  <si>
    <t>https://plazza.orange.com/docs/DOC-517443</t>
  </si>
  <si>
    <t>GVAT02</t>
  </si>
  <si>
    <t>Rte du Bois-des-Frères 48, 1219 Vernier, Switzerland</t>
  </si>
  <si>
    <t>GV2</t>
  </si>
  <si>
    <t>Rue de la Confédération 6, 1204 Genève, Switzerland</t>
  </si>
  <si>
    <t>GV1</t>
  </si>
  <si>
    <t>Josefstrasse 225, 8005 Zürich, Switzerland</t>
  </si>
  <si>
    <t>ZH2</t>
  </si>
  <si>
    <t>ZH4</t>
  </si>
  <si>
    <t>Allmendstrasse 13, 8102 Oberengstringen, Switzerland</t>
  </si>
  <si>
    <t>ZH5</t>
  </si>
  <si>
    <t>Turkey</t>
  </si>
  <si>
    <t>Istanbul</t>
  </si>
  <si>
    <t>NGN</t>
  </si>
  <si>
    <t>34959 Tuzla Istanbul, Turkey</t>
  </si>
  <si>
    <t>Star of Bosphorus DC</t>
  </si>
  <si>
    <t>40.9406222</t>
  </si>
  <si>
    <t>29.4237365</t>
  </si>
  <si>
    <t>Radore</t>
  </si>
  <si>
    <t>Büyükdere Cad. No:171 Metrocity AVM Kat: -4B No: 39-46S, Levent Cd., 34330 Şişli/İstanbul, Türkiye</t>
  </si>
  <si>
    <t>41.0759119</t>
  </si>
  <si>
    <t>29.0119856</t>
  </si>
  <si>
    <t>Dubai</t>
  </si>
  <si>
    <t>International Media Production Zone (IMPZ), Units F90, F91 &amp; F92, Sheikh Mohamed Bin Zayed Road, Dubai, AE, 500389</t>
  </si>
  <si>
    <t>DX1</t>
  </si>
  <si>
    <t>25.0385213</t>
  </si>
  <si>
    <t>55.1837424</t>
  </si>
  <si>
    <t>https://plazza.orange.com/docs/DOC-2346810</t>
  </si>
  <si>
    <t>London</t>
  </si>
  <si>
    <t>LONX02</t>
  </si>
  <si>
    <t>1 Muirfield Crescent- Off Pepper Street- London E14 9SZ</t>
  </si>
  <si>
    <t>London - Archway House</t>
  </si>
  <si>
    <t>51.4966976</t>
  </si>
  <si>
    <t>-0.0181943</t>
  </si>
  <si>
    <t>Royal Park</t>
  </si>
  <si>
    <t>LONX04/LONX05</t>
  </si>
  <si>
    <t>Unit 2 - Ursula Lapp Ind Estate, Park Royal Bay, Old Oak Lane London NW10 6UD</t>
  </si>
  <si>
    <t>Park Royal</t>
  </si>
  <si>
    <t>51.5278587</t>
  </si>
  <si>
    <t>-0.2618239</t>
  </si>
  <si>
    <t>Scotland</t>
  </si>
  <si>
    <t>Aberdeen</t>
  </si>
  <si>
    <t>Brightsolid</t>
  </si>
  <si>
    <t xml:space="preserve">BrightSolid Journal Ltd., Aberdeen AB15 6DF, United Kingdom </t>
  </si>
  <si>
    <t>Brightsolid DC</t>
  </si>
  <si>
    <t>57.1498891</t>
  </si>
  <si>
    <t>-2.0937528</t>
  </si>
  <si>
    <t>https://plazza.orange.com/docs/DOC-569614</t>
  </si>
  <si>
    <t>Hounslow</t>
  </si>
  <si>
    <t>LONH04/LONT01</t>
  </si>
  <si>
    <t>1st Floor Lampton House  Lampton Road, Hounslow, TW3 4EY</t>
  </si>
  <si>
    <t>Equant Lampton House</t>
  </si>
  <si>
    <t>51.4781906</t>
  </si>
  <si>
    <t>-0.3647594</t>
  </si>
  <si>
    <t>Illinois</t>
  </si>
  <si>
    <t>Chicago</t>
  </si>
  <si>
    <t>CHIL02</t>
  </si>
  <si>
    <t>350 E Cermak Rd, 6th Floor, Chicago, Illinois, United States of America, 60616</t>
  </si>
  <si>
    <t>41.8531135</t>
  </si>
  <si>
    <t>-87.6183281</t>
  </si>
  <si>
    <t>CHID03</t>
  </si>
  <si>
    <t>350 E Cermak Rd, 5th Floor, Chicago, Illinois, United States of America, 60616</t>
  </si>
  <si>
    <t>CH2</t>
  </si>
  <si>
    <t>ORDC01</t>
  </si>
  <si>
    <t xml:space="preserve">1905 Lunt Ave.  Elk Grove Village, IL 60007 </t>
  </si>
  <si>
    <t>CH3</t>
  </si>
  <si>
    <t>42.0010976</t>
  </si>
  <si>
    <t>-87.9548634</t>
  </si>
  <si>
    <t>CHIF03</t>
  </si>
  <si>
    <t>350 E Cermak Rd, 8th Floor, Chicago, Illinois, United States of America, 60616</t>
  </si>
  <si>
    <t>CH4</t>
  </si>
  <si>
    <t>Virginia</t>
  </si>
  <si>
    <t>Culpeper</t>
  </si>
  <si>
    <t>18155 Technology Drive, Building B, Culpeper, VA, United States of America, 22701</t>
  </si>
  <si>
    <t>CU2</t>
  </si>
  <si>
    <t>38.4551336</t>
  </si>
  <si>
    <t>-77.9780767</t>
  </si>
  <si>
    <t xml:space="preserve"> 1950 North Stemmons Freeway, Dallas, Texas, United States of America, 75207</t>
  </si>
  <si>
    <t>DA3</t>
  </si>
  <si>
    <t>32.8007033</t>
  </si>
  <si>
    <t>-96.8191899</t>
  </si>
  <si>
    <t>Ashburn</t>
  </si>
  <si>
    <t>21551 Beaumeade Circle, Ashburn, VA 20147</t>
  </si>
  <si>
    <t>DC10</t>
  </si>
  <si>
    <t>IADF02</t>
  </si>
  <si>
    <t>21721 Filigree Court, Ashburn, VA 20147</t>
  </si>
  <si>
    <t>DC11</t>
  </si>
  <si>
    <t>39.0152031</t>
  </si>
  <si>
    <t>-77.4594652</t>
  </si>
  <si>
    <t>21830 Uunet Way, Ashburn, Virginia, United States of America, 20147</t>
  </si>
  <si>
    <t>DC13</t>
  </si>
  <si>
    <t>39.0124932</t>
  </si>
  <si>
    <t>-77.4753692</t>
  </si>
  <si>
    <t>New York</t>
  </si>
  <si>
    <t>Coresite</t>
  </si>
  <si>
    <t>32 6th Ave # 70, New York, NY 10013</t>
  </si>
  <si>
    <t>NY1</t>
  </si>
  <si>
    <t>40.7200627</t>
  </si>
  <si>
    <t>-74.00474779999999</t>
  </si>
  <si>
    <t>22175 Beaumeade Circle, Ashburn, Virginia, United States of America, 20147</t>
  </si>
  <si>
    <t>DC21</t>
  </si>
  <si>
    <t>39.0119765</t>
  </si>
  <si>
    <t>-77.45414099999999</t>
  </si>
  <si>
    <t>Sterling</t>
  </si>
  <si>
    <t>IADD01</t>
  </si>
  <si>
    <t>22451 Shaw Road      Sterling, VA  20166</t>
  </si>
  <si>
    <t>38.99399409999999</t>
  </si>
  <si>
    <t>-77.43158559999999</t>
  </si>
  <si>
    <t>44470 Chilum Place, 20147, Ashburn</t>
  </si>
  <si>
    <t>DC3</t>
  </si>
  <si>
    <t>39.0221038</t>
  </si>
  <si>
    <t>-77.460696</t>
  </si>
  <si>
    <t>IADD03</t>
  </si>
  <si>
    <t>21691 Filigree Court, Ashburn, Virginia, United States of America, 20147</t>
  </si>
  <si>
    <t>DC4</t>
  </si>
  <si>
    <t>39.0164848</t>
  </si>
  <si>
    <t>-77.4619615</t>
  </si>
  <si>
    <t>Moscow</t>
  </si>
  <si>
    <t>Ixcellerate</t>
  </si>
  <si>
    <t>Altuf'yevskoye Shosse, 33Г, Moscow, Russie, 127410</t>
  </si>
  <si>
    <t>Ixcellerate DC</t>
  </si>
  <si>
    <t>55.8623729</t>
  </si>
  <si>
    <t>37.5771763</t>
  </si>
  <si>
    <t>Colorado</t>
  </si>
  <si>
    <t>Denver</t>
  </si>
  <si>
    <t>9706 East Easter Avenue
Suite 160
Englewood, CO 80112</t>
  </si>
  <si>
    <t>DE1</t>
  </si>
  <si>
    <t>39.5873917</t>
  </si>
  <si>
    <t>-104.8763163</t>
  </si>
  <si>
    <t>Slough</t>
  </si>
  <si>
    <t xml:space="preserve">8 Buckingham Avenue , Slough Trading Estate – Slough  Berkshire SL1 4AX </t>
  </si>
  <si>
    <t>LD5</t>
  </si>
  <si>
    <t>51.5224355</t>
  </si>
  <si>
    <t>-0.6290175</t>
  </si>
  <si>
    <t>https://plazza.orange.com/docs/DOC-724624</t>
  </si>
  <si>
    <t>352 Buckingham Ave, Slough SL1 4NL</t>
  </si>
  <si>
    <t>LD6</t>
  </si>
  <si>
    <t>51.52456979999999</t>
  </si>
  <si>
    <t>-0.6349477</t>
  </si>
  <si>
    <t>1 Banbury Ave, Slough SL1 4LH, Royaume-Uni</t>
  </si>
  <si>
    <t>LD7</t>
  </si>
  <si>
    <t>51.5257496</t>
  </si>
  <si>
    <t>-0.6357767999999999</t>
  </si>
  <si>
    <t>6-7 Harbour Exchange Square, London E14 9GE, Royaume-Uni</t>
  </si>
  <si>
    <t>LD8</t>
  </si>
  <si>
    <t>51.4981847</t>
  </si>
  <si>
    <t>-0.0142533</t>
  </si>
  <si>
    <t>Unit 1, Powergate Business Park, Volt Avenue, London NW10 6PW</t>
  </si>
  <si>
    <t>LD9</t>
  </si>
  <si>
    <t>51.5318382</t>
  </si>
  <si>
    <t>-0.2573596</t>
  </si>
  <si>
    <t>335 Inverness Drive South, Englewood, CO 80112</t>
  </si>
  <si>
    <t>DE2</t>
  </si>
  <si>
    <t>New Jersey</t>
  </si>
  <si>
    <t>Newark</t>
  </si>
  <si>
    <t>EWRR01</t>
  </si>
  <si>
    <t>165 Halsey St, 8th Floor, Newark, New Jersey, United States of America, 07102</t>
  </si>
  <si>
    <t>40.7368442</t>
  </si>
  <si>
    <t>-74.17340229999999</t>
  </si>
  <si>
    <t>Secaucus</t>
  </si>
  <si>
    <t>EWRL02</t>
  </si>
  <si>
    <t>275 Hartz Way, Secaucus, New Jersey, United States of America, 07094</t>
  </si>
  <si>
    <t>NY2</t>
  </si>
  <si>
    <t>40.7778177</t>
  </si>
  <si>
    <t>-74.07590859999999</t>
  </si>
  <si>
    <t>755 Secaucus Road, Secaucus, NJ 07094</t>
  </si>
  <si>
    <t>NY4</t>
  </si>
  <si>
    <t>40.7764996</t>
  </si>
  <si>
    <t>-74.06985089999999</t>
  </si>
  <si>
    <t>800 Secaucus Rd, Secaucus, New Jersey, United States of America, 07094</t>
  </si>
  <si>
    <t>NY5</t>
  </si>
  <si>
    <t>40.7785344</t>
  </si>
  <si>
    <t>-74.0722373</t>
  </si>
  <si>
    <t>NYCC31</t>
  </si>
  <si>
    <t>105 Enterprise Avenue South, Secaucus, New Jersey, United States of America, 7094</t>
  </si>
  <si>
    <t>NY6</t>
  </si>
  <si>
    <t>40.7775316</t>
  </si>
  <si>
    <t>-74.072788</t>
  </si>
  <si>
    <t>111 8th Ave, New York, New York, United States of America, 10011</t>
  </si>
  <si>
    <t>NY9</t>
  </si>
  <si>
    <t>40.7414911</t>
  </si>
  <si>
    <t>-74.00338889999999</t>
  </si>
  <si>
    <t>Lodz</t>
  </si>
  <si>
    <t>Orange Poland</t>
  </si>
  <si>
    <t>LCJT01</t>
  </si>
  <si>
    <t>92-104 Lodz, Stokowska 17/19</t>
  </si>
  <si>
    <t>Orange PoP Lodz</t>
  </si>
  <si>
    <t>51.78956549999999</t>
  </si>
  <si>
    <t>19.5063216</t>
  </si>
  <si>
    <t>Dakar</t>
  </si>
  <si>
    <t>Orange Sonatel</t>
  </si>
  <si>
    <t>Rte de Rufisque, Dakar, Sénégal</t>
  </si>
  <si>
    <t>Orange Sonatel Rufisque</t>
  </si>
  <si>
    <t>14.6818762</t>
  </si>
  <si>
    <t>-17.4377127</t>
  </si>
  <si>
    <t>Grand Bassam</t>
  </si>
  <si>
    <t>Orange CI</t>
  </si>
  <si>
    <t>ABJF04</t>
  </si>
  <si>
    <t>VITIB Academy – BP 605 Grand-Bassam</t>
  </si>
  <si>
    <t>Orange VITIB</t>
  </si>
  <si>
    <t>5.2303465</t>
  </si>
  <si>
    <t>-3.7577792</t>
  </si>
  <si>
    <t>OSLT04</t>
  </si>
  <si>
    <t>Stanseveien 30, 0976 Oslo, Norway</t>
  </si>
  <si>
    <t>OSL3</t>
  </si>
  <si>
    <t>59.9494696</t>
  </si>
  <si>
    <t>10.8810953</t>
  </si>
  <si>
    <t>OSL5</t>
  </si>
  <si>
    <t>Hornerudveien 25, 1461 Lørenskog, Norway</t>
  </si>
  <si>
    <t>59.9259543</t>
  </si>
  <si>
    <t>10.9420651</t>
  </si>
  <si>
    <t>Washington</t>
  </si>
  <si>
    <t>Seattle</t>
  </si>
  <si>
    <t>SEAC04</t>
  </si>
  <si>
    <t>2001 Sixth Ave, #350, Seattle, Washington, United States of America, 98121</t>
  </si>
  <si>
    <t>SE2</t>
  </si>
  <si>
    <t>47.6143474</t>
  </si>
  <si>
    <t>-122.3388835</t>
  </si>
  <si>
    <t>SEAL02</t>
  </si>
  <si>
    <t>2020 Fifth Avenue, Seattle, Washington, United States of America, 98121</t>
  </si>
  <si>
    <t>SE3</t>
  </si>
  <si>
    <t>47.6144214</t>
  </si>
  <si>
    <t>-122.3397413</t>
  </si>
  <si>
    <t>SJCC05</t>
  </si>
  <si>
    <t>11 Great Oaks Boulevard, San Jose, California, United States of America, 95119</t>
  </si>
  <si>
    <t>SV1</t>
  </si>
  <si>
    <t>37.2415378</t>
  </si>
  <si>
    <t>-121.783474</t>
  </si>
  <si>
    <t>SJCF02</t>
  </si>
  <si>
    <t>7 Great Oaks Boulevard, N/A, San Jose, California, United States of America, 95119</t>
  </si>
  <si>
    <t>SV10</t>
  </si>
  <si>
    <t>37.2413955</t>
  </si>
  <si>
    <t>-121.7849556</t>
  </si>
  <si>
    <t>3000 Corvin Drive, POd B, Santa Clara, CA 95051</t>
  </si>
  <si>
    <t>SV16</t>
  </si>
  <si>
    <t>1735 Lundy Ave, San Jose, California, United States of America, 95131</t>
  </si>
  <si>
    <t>SV3</t>
  </si>
  <si>
    <t>37.38823470000001</t>
  </si>
  <si>
    <t>-121.8884572</t>
  </si>
  <si>
    <t>SJCD02</t>
  </si>
  <si>
    <t>9 Great Oaks Boulevard, San Jose, California, United States of America, 95119</t>
  </si>
  <si>
    <t>SV5</t>
  </si>
  <si>
    <t>37.2418698</t>
  </si>
  <si>
    <t>-121.7816047</t>
  </si>
  <si>
    <t>SJCD01</t>
  </si>
  <si>
    <t>2334 Lundy Place San Jose, CA  95131</t>
  </si>
  <si>
    <t>37.4039431</t>
  </si>
  <si>
    <t>-121.8894616</t>
  </si>
  <si>
    <t>https://plazza.orange.com/docs/DOC-724110</t>
  </si>
  <si>
    <t>QTS</t>
  </si>
  <si>
    <t>ATLH06</t>
  </si>
  <si>
    <t xml:space="preserve">1033 Jefferson Street NW, Atlanta, Georgia 30318 </t>
  </si>
  <si>
    <t>ATL1</t>
  </si>
  <si>
    <t>33.7759874</t>
  </si>
  <si>
    <t>-84.42104909999999</t>
  </si>
  <si>
    <t>Herndon</t>
  </si>
  <si>
    <t>IADX01</t>
  </si>
  <si>
    <t>13775 McLearen Road, 20171, Herndon</t>
  </si>
  <si>
    <t>38.9270217</t>
  </si>
  <si>
    <t>-77.4240282</t>
  </si>
  <si>
    <t>2 Emerson Lane, 7094, Secaucus, 1st Floor, Cabinet 0208</t>
  </si>
  <si>
    <t>NY2 - CoreSite</t>
  </si>
  <si>
    <t>40.7833916</t>
  </si>
  <si>
    <t>-74.06468799999999</t>
  </si>
  <si>
    <t>CHIL03</t>
  </si>
  <si>
    <t>350 E Cermak Rd, 4th Floor, Chicago, Illinois, United States of America, 60616</t>
  </si>
  <si>
    <t>CHI1</t>
  </si>
  <si>
    <t>https://plazza.orange.com/docs/DOC-1766515</t>
  </si>
  <si>
    <t>Plot 5, Thane Airoli Road, Mumbai, India, 400708</t>
  </si>
  <si>
    <t>MB4</t>
  </si>
  <si>
    <t>Noida</t>
  </si>
  <si>
    <t>CtrlS</t>
  </si>
  <si>
    <t>DELT08</t>
  </si>
  <si>
    <t>Plot No.13, Bakhtawarpur, Sector 127, Noida, Uttar Pradesh 201304, India</t>
  </si>
  <si>
    <t>Noida DC1</t>
  </si>
  <si>
    <t>Equinix SY5 Data Centre, Unit B, 200 Bourke Road, Alexandria, Sydney, Australia, NSW 2015</t>
  </si>
  <si>
    <t>SY5</t>
  </si>
  <si>
    <t xml:space="preserve">Classification Comment </t>
  </si>
  <si>
    <t>Existing DRP / Comment</t>
  </si>
  <si>
    <t xml:space="preserve">Facilities Site Owned by </t>
  </si>
  <si>
    <t>OCB contact ( supplier management, finances and capacity planning)</t>
  </si>
  <si>
    <t>DIF/FOIS contact (site manager)</t>
  </si>
  <si>
    <t>Proximity service contacts</t>
  </si>
  <si>
    <t>UHP / Comments</t>
  </si>
  <si>
    <t xml:space="preserve">24x7 Access security </t>
  </si>
  <si>
    <t>Customer top 18</t>
  </si>
  <si>
    <t>m2</t>
  </si>
  <si>
    <t>Audits &amp; Certifications (to be requested via DC Plazza or Burgundy - see certification sheet)</t>
  </si>
  <si>
    <t>Infrastructure Datacenter Class</t>
  </si>
  <si>
    <t>Closed Orange Connectivity (km)</t>
  </si>
  <si>
    <t>OBS footprint</t>
  </si>
  <si>
    <t>Local Vendor/Supplier for cabling (IMPLE responsibility)</t>
  </si>
  <si>
    <t>Local sourcing contact</t>
  </si>
  <si>
    <t>Closure  December 2016</t>
  </si>
  <si>
    <t>No</t>
  </si>
  <si>
    <t>DIF</t>
  </si>
  <si>
    <t>Olivier Coroller
Office +33 2 23 06 44 62
Mobile +33 6 71 92 65 97
 olivier.coroller@orange.com</t>
  </si>
  <si>
    <t xml:space="preserve">PERES Frédéric DTSI/DIF
+33 1 58 94 70 40 
+33 6 74 41 88 66   </t>
  </si>
  <si>
    <t xml:space="preserve">Thierry  Le Dorven         resp. Conduite d'activité  
+33 1 55 22 12 22
</t>
  </si>
  <si>
    <t>Yes                                                      Link</t>
  </si>
  <si>
    <t>contact:0 810 810 865
nanterre.dosidc@orange.com</t>
  </si>
  <si>
    <t>Carrefour
TEREOS
RIO TINTO LTD
Equant IT&amp;S</t>
  </si>
  <si>
    <t xml:space="preserve"> -</t>
  </si>
  <si>
    <t>TIER III</t>
  </si>
  <si>
    <t>RNSH01</t>
  </si>
  <si>
    <t>Equant,                                                                          9 rue du chene Germain, Cesson Sevigne 35512</t>
  </si>
  <si>
    <t>Cesson - DIF</t>
  </si>
  <si>
    <t>Closure 2020</t>
  </si>
  <si>
    <t>Yes Rueil (GDF)
Oak-Hill (SGS)</t>
  </si>
  <si>
    <t>Yes                                            Link</t>
  </si>
  <si>
    <t>reception: 02 23 28 66 92                                       rennes.dosidc@orange.com</t>
  </si>
  <si>
    <t>ENGIE                                                                            OBS IT                                                                   OCB PROD (clients externes)                                 Eng Eq INFRA/OCB                                              Eng Eq SECURITY                                                Eng Eq MESSAGING                                          Eng Eq CCS                                                                 Eng Eq SUP                                                              Eng Eq Atlas</t>
  </si>
  <si>
    <t xml:space="preserve">12 salles TIER III
2 797 m² (0.9 kW/m²)
Greater than 99.99 % service availability
</t>
  </si>
  <si>
    <t>ISAE 3402 - ISO 14001</t>
  </si>
  <si>
    <t xml:space="preserve">72-74 av. De la Republique- 94550 Chevilly-Larue
</t>
  </si>
  <si>
    <t>Yes KDDI (LVMH)
Rueil (multiple customers - synchronous mode available))
Normandie (ready)</t>
  </si>
  <si>
    <t>Yes                                   Link</t>
  </si>
  <si>
    <t xml:space="preserve">security guard:01 45 60 95 99
chevilly.dosidc@orange.com
                      01 58 94 53 50                                 06 75 39 26 62                            </t>
  </si>
  <si>
    <t xml:space="preserve">                                                                              OAB                                                    ENGIE                                       Flexible Exchange                                         SI2M                                                  FCE                                                     LVMH                                                Sagem-Communication                               SCOF                                          AlloBizz
TEREOS
</t>
  </si>
  <si>
    <t>3 rooms TIER III+
1 550 m² (1kW /m²)
Greater than 99.99 % service availability</t>
  </si>
  <si>
    <t>TIER III+</t>
  </si>
  <si>
    <t xml:space="preserve">90 rue Pierre Brossolette 92500 Rueil Malmaison                                                           </t>
  </si>
  <si>
    <t>Yes Chevilly (multiple customers - synchronous mode available)
Normandie (ready)</t>
  </si>
  <si>
    <t>contact : 0 810 810 865                                                                                            01 41 20 51 77            
nanterre.dosidc@orange.com</t>
  </si>
  <si>
    <t xml:space="preserve"> ENGIE                                                 SI2M                                                Néoclès                                           Cloudwatt                                          TEREOS                                         SCOF                                            FCP V1 
        LVMH                                    TMF Group                              Flexible Exchange   </t>
  </si>
  <si>
    <t>6 rooms TIER III+
2 000 m² (1kW /m²)
Greater than 99.99 % service availability</t>
  </si>
  <si>
    <t>BVA07</t>
  </si>
  <si>
    <t>Data Center Normandie
1 voie de l’orée (7 voie de l'Orée for equipment shipment)
27100 Val de Reuil.</t>
  </si>
  <si>
    <t>Normandie - DIF</t>
  </si>
  <si>
    <t>Yes Rueil (ready)
Chevilly (ready)</t>
  </si>
  <si>
    <t>Yes</t>
  </si>
  <si>
    <t xml:space="preserve"> contact:02 32 09 26 26
dei.dcn@orange.com                                          Proximity Contact
Nicolas Pagès : 0672079558
Contact logistic (equipment shipment)
Xavier Cavelier : 0630444245
</t>
  </si>
  <si>
    <t xml:space="preserve">
Cloudwatt
OAB
     OBOS                                        CGI
                 Unified Defense                               TMF Group                                    Spie Batignolles                                  OINIS                                         Diffusion Plus                        B2G3M</t>
  </si>
  <si>
    <t>&gt;&gt; 5,200 m2 of hosting out of a total surface area of 18,000 m2
&gt;&gt; 4 computer rooms,
&gt;&gt; 6 POD OCB in each room
&gt;&gt; 24 to 30 bays per POD
&gt;&gt; Use of free cooling more than 80% of the time
&gt;&gt; Greater than 99.995% service availability</t>
  </si>
  <si>
    <t>TIER IV</t>
  </si>
  <si>
    <t>Closure 2018 DC 2016</t>
  </si>
  <si>
    <t>FOIS</t>
  </si>
  <si>
    <t xml:space="preserve">  David Taieb                                         Office : +33 1  40 91 36 39
 Mobile : +33 6 81 87 76 63
david.taieb@orange.com</t>
  </si>
  <si>
    <t>Jean-Charles Basseguy  +33-156763300  rso.france@orange.com +33-156763355</t>
  </si>
  <si>
    <t>Yes                                      Link</t>
  </si>
  <si>
    <t xml:space="preserve">BO Main desk/NBO security: +33146411004                </t>
  </si>
  <si>
    <t xml:space="preserve">        CARREFOUR                </t>
  </si>
  <si>
    <t>Size of the Building: N/A
Size of the hosting area: 2236m² 
Capacity of the hosting area (# cabinets): 840 (roughly)
Possible expansion: Y
Size of expansion: 660m²</t>
  </si>
  <si>
    <t xml:space="preserve">Unable to support requests for new business due to site closure and cost.
</t>
  </si>
  <si>
    <t>XVP28</t>
  </si>
  <si>
    <t xml:space="preserve">114 rue ambroise Croizat 
93200 Saint Denis
</t>
  </si>
  <si>
    <t>Equinix PA3</t>
  </si>
  <si>
    <t>Honey</t>
  </si>
  <si>
    <t/>
  </si>
  <si>
    <t xml:space="preserve">      David Taieb                                                      +33 1  40 91 36 39
 +33 6 81 87 76 63
david.taieb@orange.com</t>
  </si>
  <si>
    <t xml:space="preserve">contact:01 84 88 34 96 Servicedesk.FR@eu.equinix.com
</t>
  </si>
  <si>
    <t xml:space="preserve"> HONEY                                                   GDF                                                       GFI</t>
  </si>
  <si>
    <t xml:space="preserve">      ISAE 3402 - ISO 9001      ISO 27001 - PCI DSS</t>
  </si>
  <si>
    <t>Aubervilliers</t>
  </si>
  <si>
    <t>XVP38</t>
  </si>
  <si>
    <t>10 rue Waldeck Rochet Building 520 93300 Aubervilliers France</t>
  </si>
  <si>
    <t>Equinix PA6</t>
  </si>
  <si>
    <t>HONEY</t>
  </si>
  <si>
    <t>XVP29</t>
  </si>
  <si>
    <t xml:space="preserve">110 Bis avenue du Général Leclerc 93500 Pantin
</t>
  </si>
  <si>
    <t>Equinix PA4</t>
  </si>
  <si>
    <t xml:space="preserve">  HONEY                                              GDF                                                         GFI</t>
  </si>
  <si>
    <t xml:space="preserve">        ISAE 3402 - ISO 9001          ISO 27001 - PCI DSS</t>
  </si>
  <si>
    <t>ITSH01/ITSH02</t>
  </si>
  <si>
    <t xml:space="preserve">8 Buckingham Avenue 
Slough Trading Estate – Slough  Berkshire SL1 4AX 
</t>
  </si>
  <si>
    <t>Equinix LD5</t>
  </si>
  <si>
    <t xml:space="preserve">     Dave Hogg                                                      Office - 44 2083214586                             Mobile - 44-796-686-158</t>
  </si>
  <si>
    <t xml:space="preserve">contact : +44 345 373 2999 ServiceDesk.UK@eu.equinix.com </t>
  </si>
  <si>
    <t>Simmons and Simmons, Ecobank, Cage OCB (BAT, Rio Tinto)</t>
  </si>
  <si>
    <t xml:space="preserve">      ISAE 3402 - ISO 9001               ISO 27001 - PCI DSS                 ISAE 14001 - ISO 18001      ISO 5001</t>
  </si>
  <si>
    <t xml:space="preserve"> Park Royal</t>
  </si>
  <si>
    <t>Unit 2 - Ursula Lapp Ind Estate             Park Royal Bay, Old Oak Lane London NW10 6UD</t>
  </si>
  <si>
    <t>Full</t>
  </si>
  <si>
    <t xml:space="preserve">       Dave Hogg                                                Office - 44 2083214586                              Mobile - 44-796-686-158</t>
  </si>
  <si>
    <t>Dave Hogg                      Office - 44 2083214586                 Mobile - 44-796-686-1580</t>
  </si>
  <si>
    <t>contact : +44 208 607 4515
parkroyalsecurity@ssg-net.com</t>
  </si>
  <si>
    <t xml:space="preserve">BHP                                           EQUANT IT&amp;S                                   Guoman                                  Hotels Ltd                   </t>
  </si>
  <si>
    <t>Size of the Building: 2,000m2
Size of the hosting area: To be Confirmed
Capacity of the hosting area (# cabinets): 374</t>
  </si>
  <si>
    <t>ISAE 3402</t>
  </si>
  <si>
    <t>LONH04/LONT04</t>
  </si>
  <si>
    <t xml:space="preserve">1st Floor Lampton House  Lampton Road, Hounslow, TW3 4EY
</t>
  </si>
  <si>
    <t>Full + Out dated</t>
  </si>
  <si>
    <t xml:space="preserve">     Dave Hogg                                               Office - 44 2083214586                                      Mobile - 44-796-686-158</t>
  </si>
  <si>
    <t>Dave Hogg                      Office - 44 2083214586                 Mobile - 44-796-686-1581</t>
  </si>
  <si>
    <t>Contact : +44 208 607 7626  lamptonhousesecurity@ssg-net.com</t>
  </si>
  <si>
    <t xml:space="preserve">EQUANT Ent IT  </t>
  </si>
  <si>
    <t>Equinix (IBX Services) GmbH, Lärchenstrasse 110, 65933 Frankfurt Griesheim
Germany</t>
  </si>
  <si>
    <t>Equinix FR4</t>
  </si>
  <si>
    <t>JCT services</t>
  </si>
  <si>
    <t xml:space="preserve">Thomas Kolbe                                                         Office : +49 6196962714                                    Mobile : +49 6196962123            thomas.kolbe@orange.com </t>
  </si>
  <si>
    <t>FOIS operational site GNMC-PAR /Supporting Site India SCC - WE Field Region / Field Engineer (FE) name: LEIB, Bernd
Field Engineer (FE) contact number : +49 6196 96220/+49 172 6756368</t>
  </si>
  <si>
    <t>connected to UHP Cesson (admin and monitoring) linked to Cesson / isolated network</t>
  </si>
  <si>
    <t xml:space="preserve">security is controlled via Access List, only approved staff will get access to the DC. Access Cards will only be handed out to authorised staff managed via secure access list embeeded in customer portal / 24h in advance need normal DC management/maintenance visits need to be announced                                                       Contact :  +49 1805 049 555
ServiceDesk.de@eu.equinix.com </t>
  </si>
  <si>
    <t>B2GaaS, SITA, Share Cloud, Siemens, Takeda, Additiv, ALDI</t>
  </si>
  <si>
    <t>1500w/m²  Power of the Diesel:8*1600 kVA diesel engine generators power of the UPS:4*1600 KVA Units in n+1 DC own power transformator available:4 * 2500 KVA</t>
  </si>
  <si>
    <t xml:space="preserve">Kleyerstrasse 90 
60326 Frankfurt
</t>
  </si>
  <si>
    <t>Equant FRAX01</t>
  </si>
  <si>
    <t xml:space="preserve">       Thomas Kolbe                                                 Office : +49 6196962714                                    Mobile : +49 6196962123            thomas.kolbe@orange.com </t>
  </si>
  <si>
    <t xml:space="preserve">Contact : +49 6196 962203
</t>
  </si>
  <si>
    <t xml:space="preserve"> ISO 9001 - ISO 27001</t>
  </si>
  <si>
    <t>TIERIII</t>
  </si>
  <si>
    <t xml:space="preserve">     Paul Meijer                                                        Office: +31 206069161                               
Mobile : +31 206069200   paul.meijer@orange.com</t>
  </si>
  <si>
    <t xml:space="preserve">Level 1 / +32 (0) 261 401 20 : Duty manager
Level 2 / +32 (0) 261 401 55 : Operation
Service Desk 24/7 Level 3 / +32 (0) 261 401 23 : Pepijn Palmas
</t>
  </si>
  <si>
    <t>ISO 27001</t>
  </si>
  <si>
    <t xml:space="preserve">Equinix - Science Park 610 1098 XH Amsterdam The Netherlands
</t>
  </si>
  <si>
    <t>Equinix AM3</t>
  </si>
  <si>
    <t xml:space="preserve">Contact : +31 20 808 0015
ServiceDesk.NL@eu.equinix.com 
</t>
  </si>
  <si>
    <t xml:space="preserve">General Electric International Inc </t>
  </si>
  <si>
    <t xml:space="preserve">      ISAE 3402 - ISO 9001          ISO 27001 - PCI DSS           ISAE 14001 - ISO 18001      ISO 5001</t>
  </si>
  <si>
    <t>AMS15</t>
  </si>
  <si>
    <t>Equinix - Amstel Business Park Campus
Duivendrechtsekade 80A
1096 AH Amsterdam
The Netherlands</t>
  </si>
  <si>
    <t>Equinix AM6</t>
  </si>
  <si>
    <t>VERKRUISEN Roel
Office: +31206069272                              
Mobile : +31653810114   roel.verkruisen@orange.com</t>
  </si>
  <si>
    <t>Flexible Engine</t>
  </si>
  <si>
    <t xml:space="preserve">      ISO 27001 - PCI-DSS  -OHSAS 18001 - ISO 9001 - ISO 5001 - ISO 14001 - SSAE 16/ISAE 3402 SOC-1 Type II</t>
  </si>
  <si>
    <t>Cessnalaan 71, 1119 NM, Schiphol-Rijk The Netherlands</t>
  </si>
  <si>
    <t>Amsterdam AMSX01</t>
  </si>
  <si>
    <t xml:space="preserve">Contact : +31 20 808 0015
</t>
  </si>
  <si>
    <t>TIERIII+</t>
  </si>
  <si>
    <t xml:space="preserve">Equinix - 48, Route du Bois-des-Frères
1219 Le Lignon Switzerland
</t>
  </si>
  <si>
    <t>Equinix GV2</t>
  </si>
  <si>
    <t>Nethosting</t>
  </si>
  <si>
    <t xml:space="preserve">  Pierre Mall                                                               Office: +41 223399155                                          Mobile : +41 794269190 pierre.mall@orange.com</t>
  </si>
  <si>
    <t>connected to UHP Cesson</t>
  </si>
  <si>
    <t xml:space="preserve">Contact : +41 22 518 07 20
ServiceDesk.CH@eu.equinix.com </t>
  </si>
  <si>
    <t xml:space="preserve">         ISO 9001 - ISO 27001        ISAE 3402 - PCI DSS</t>
  </si>
  <si>
    <t xml:space="preserve">Geneva PoP      GVAX01 </t>
  </si>
  <si>
    <t>Albulastrasse 55</t>
  </si>
  <si>
    <t>-</t>
  </si>
  <si>
    <t>Constantin Velicu                                                     Office: +40 374447975                                            Mobile : +40 744560525 constantin.velicu@orange.com</t>
  </si>
  <si>
    <t xml:space="preserve">Contact : +48 42 617 57 30     cnoper@orange.com
</t>
  </si>
  <si>
    <t xml:space="preserve"> ISO 22301 - ISO 27001</t>
  </si>
  <si>
    <t>tbd</t>
  </si>
  <si>
    <t xml:space="preserve">5 Brewery St, Kempton Park, 1600
South Africa
</t>
  </si>
  <si>
    <t>Teraco Johannesbourg</t>
  </si>
  <si>
    <t>Jan coetzee
Office : +27 115177109
 Mobile :+27 834596331
jan.coetzee@orange.com</t>
  </si>
  <si>
    <t>ZTE</t>
  </si>
  <si>
    <t>Ground Floor, SITA Equant Building, 18 Eglin Road, Sunninghill</t>
  </si>
  <si>
    <t>Equant JNBT01</t>
  </si>
  <si>
    <t>David Taieb Office : +33 1 40 91 36 39
 Mobile : +33 6 81 87 76 63
david.taieb@orange.com</t>
  </si>
  <si>
    <t xml:space="preserve">BrightSolid Journal Ltd. 
Aberdeen AB15 6DF
United Kingdom 
</t>
  </si>
  <si>
    <t>NTT AMS1 e-shelter Amsterdam 1 Data Center
Aviolanda 1, 1437 ED Rozenburg, Pays-Bas</t>
  </si>
  <si>
    <t>NTT AMS</t>
  </si>
  <si>
    <t>Mr. Stefan Ionut  Slavnicu 
Head of Infrastructure Expansion 
phone+40 374442600mobile+40 744441359</t>
  </si>
  <si>
    <t>Ground Floor 300m2 + 50m2 (possibility to extend to 300m2</t>
  </si>
  <si>
    <t>24/18 and 14K</t>
  </si>
  <si>
    <t>Cabinets from 5kVA (3,5kW) to 7kVA (5kW) 2008 building on site proximity team</t>
  </si>
  <si>
    <t>SafeHost - Chemin du Pre-Fleuri - 1228 Plan-les-Ouates. Geneva</t>
  </si>
  <si>
    <t>Safehost SA</t>
  </si>
  <si>
    <t>N/A</t>
  </si>
  <si>
    <t xml:space="preserve">Safehost +41 (0) 22 884 50 00 Baptiste Coudurier +41 78 630 3835
   Mark Thornhill :+41 78 636 6582
</t>
  </si>
  <si>
    <t>Numonyx</t>
  </si>
  <si>
    <t>Size of the Building: 9,500 m²
Size of the hosting area: 350 Square Meter for OBS
Capacity of the hosting area (# cabinets): 1300</t>
  </si>
  <si>
    <t>4 - Closed on October 30th 2012</t>
  </si>
  <si>
    <t xml:space="preserve">EQUANT IT&amp;S                  </t>
  </si>
  <si>
    <t xml:space="preserve">Size of the External Customer Hosting Area: 700 sq ft / 65 sq m_Capacity of the Hosting Center:Approx 36 racks </t>
  </si>
  <si>
    <t>Equipments Moved to Lampton House</t>
  </si>
  <si>
    <t>352 Buckingham Avenue, Slough Trading Estate, Slough, Berkshire SL1 4PF, UK</t>
  </si>
  <si>
    <t>Equinix LD6</t>
  </si>
  <si>
    <t>Chrysaor, JLR, GSK, AirBnB</t>
  </si>
  <si>
    <t>6-7 Harbour Exchange Square, Isle of Dogs, London E14 9GE, UK</t>
  </si>
  <si>
    <t>Equinix LD8</t>
  </si>
  <si>
    <t>cage 7 racks with BAT (3 racks)</t>
  </si>
  <si>
    <t>OTI deployed</t>
  </si>
  <si>
    <t xml:space="preserve"> Unit 2, Powergate Business Park, Volt Ave, London NW10 6PW, UK</t>
  </si>
  <si>
    <t>Equinix LD9</t>
  </si>
  <si>
    <t>JLR</t>
  </si>
  <si>
    <t>Kruppstraße 121-127, 60388 Frankfurt am Main, Germany</t>
  </si>
  <si>
    <t>Equinix FR2</t>
  </si>
  <si>
    <t>contact : +49.1805.049.555
servicedesk.de@eu.equinix.com</t>
  </si>
  <si>
    <t>ALDI, Siemens</t>
  </si>
  <si>
    <t xml:space="preserve">Kleyerstraße 90, Frankfurt 60326 Germany </t>
  </si>
  <si>
    <t>Equinix FR5</t>
  </si>
  <si>
    <t>Canon</t>
  </si>
  <si>
    <t>Larchenstrasse 110, 60326 Frankfurt, Germany</t>
  </si>
  <si>
    <t>Equinix FR6</t>
  </si>
  <si>
    <t>Airbus</t>
  </si>
  <si>
    <t>Gutleutstrasse 310, Frankfurt DE 60327, Germany</t>
  </si>
  <si>
    <t>Equinix FR7</t>
  </si>
  <si>
    <t>Seidlstrasse 3, Munich DE 80335, Germany</t>
  </si>
  <si>
    <t>Equinix MU3</t>
  </si>
  <si>
    <t>Additiv</t>
  </si>
  <si>
    <t xml:space="preserve">Luttenbergweg 4 1101 EC Amsterdam The Netherlands
</t>
  </si>
  <si>
    <t>Equinix AM2</t>
  </si>
  <si>
    <t>PERDIGAO</t>
  </si>
  <si>
    <t xml:space="preserve">Science Park 610 1098 XH Amsterdam Netherlands
</t>
  </si>
  <si>
    <t>Equinix AM4</t>
  </si>
  <si>
    <t>SAIPEN</t>
  </si>
  <si>
    <t xml:space="preserve">Schepenbergweg 42, 1105 AT Amsterdam, Netherlands
</t>
  </si>
  <si>
    <t>Equinix AM5</t>
  </si>
  <si>
    <t>NOVARTIS</t>
  </si>
  <si>
    <t xml:space="preserve">6 Rue de la Confederation CH-1204 Geneva Switzerland
</t>
  </si>
  <si>
    <t>Equinix GV1</t>
  </si>
  <si>
    <t xml:space="preserve">Contact : +41.22.518.0720
servicedesk.gv@eu.equinix.com
</t>
  </si>
  <si>
    <t>PMI, JTI</t>
  </si>
  <si>
    <t>Allmendstrasse 13 Oberengstringen 8102 Switzerland</t>
  </si>
  <si>
    <t>Equinix ZH5</t>
  </si>
  <si>
    <t xml:space="preserve">Contact : +41.43.508.1038
servicedesk.zh@eu.equinix.com
</t>
  </si>
  <si>
    <t>ADDITIV</t>
  </si>
  <si>
    <t xml:space="preserve">OUATTARA Baley /GOS </t>
  </si>
  <si>
    <t xml:space="preserve">Kiné Dimé Mbengue
Orange Business Services
Réponsable Business Development Cloud
Bureau : +221338694426
Mobile :+221 77450 68 00
</t>
  </si>
  <si>
    <t>Orange Maroc</t>
  </si>
  <si>
    <t>Nawal Jaroun
nawal.jaroun@orange.com
00212520201237</t>
  </si>
  <si>
    <t>B&amp;D - EOLAS</t>
  </si>
  <si>
    <t>29 Rue Servan, 38000 Grenoble</t>
  </si>
  <si>
    <t>Basefarm</t>
  </si>
  <si>
    <t>Hans Møller Gasmanns vei 9, 0598 Oslo, Norvège</t>
  </si>
  <si>
    <t>Basefarm OSL3</t>
  </si>
  <si>
    <t>Michael Storrosten
Head of Datacenter Operations
BASEFARM | Nydalen Allé 37a | 0484 Oslo | Norway
Mobile: +47 918 644 00 | Phone: +47 4000 4100</t>
  </si>
  <si>
    <t>PCI DSS (sec 9 &amp; 12), ISO 27001, uptime according to Tier III</t>
  </si>
  <si>
    <t>Nydalen allé 37A, 0484 Oslo, Norvège</t>
  </si>
  <si>
    <t>Basefarm OSL5</t>
  </si>
  <si>
    <t>Basefarm OSL4</t>
  </si>
  <si>
    <t>tdb</t>
  </si>
  <si>
    <t>STH5</t>
  </si>
  <si>
    <t>NTT eshelter Frankfurt</t>
  </si>
  <si>
    <t xml:space="preserve">Block 750 Oasis,
Chai Chee Road,
#04-01 
Technopark @ Chai Chee
Singapore 469000
</t>
  </si>
  <si>
    <t xml:space="preserve"> Chai Chee SINX01</t>
  </si>
  <si>
    <t>Orange PoP site</t>
  </si>
  <si>
    <t xml:space="preserve">Raymond Chee 
Office : +65 6510 3237
Mobile : +65 9694 3332 
raymond.chee@orange.com </t>
  </si>
  <si>
    <t xml:space="preserve">John YIP 
Office : +65 6419 6481
Mobile : +65 64196465
 john.yip@orange.com </t>
  </si>
  <si>
    <t xml:space="preserve">John YIP 
Office : +65 6419 6481
Mobile : +65 64196465
john.yip@orange.com </t>
  </si>
  <si>
    <t xml:space="preserve">                     Yes                    Link</t>
  </si>
  <si>
    <t>Normal Business Hr 
Mon to Fri 0830 - 1800 LT 
Duty Engr : 65 6511 4796
After business Hr 
Mon to Fri 1800 - 0900
Sat/Sun &amp;  Public Holiday
Data centre is manned by Security Guard
Office Tel : 65 6419 6323
Mobile : 65 9140 2927</t>
  </si>
  <si>
    <t xml:space="preserve">BHP Billiton                                           NOL                                                   Agilient                     </t>
  </si>
  <si>
    <t>Size of the Building: 1,016m² 
Size of the hosting area: 400 m² 
Capacity of the hosting area (# cabinets): 60 (roughly)</t>
  </si>
  <si>
    <t xml:space="preserve">ISAE 3402 </t>
  </si>
  <si>
    <t xml:space="preserve">TIER II </t>
  </si>
  <si>
    <t>Highly selective due to limited power left. 
Prefer managed hosting. 
Avoid pure collocation.
FOIS office is in the DC.</t>
  </si>
  <si>
    <t>Block 750 Dune, Chai Chee Road, #05-04/05 Technopark @ Chai Chee, Singapore 469004</t>
  </si>
  <si>
    <t>extended PoP from SINX01</t>
  </si>
  <si>
    <t>NO Chevilly (LVMH)</t>
  </si>
  <si>
    <t>KDDI</t>
  </si>
  <si>
    <t>David Tay Duty Engr :                                            Office : +656419 6480 
Mobile : +65 9794 9628                                                 +65 6511 4796</t>
  </si>
  <si>
    <t xml:space="preserve"> Mail : ocbinfra.servicedesk@orange.com
On call number : 00201276379175
</t>
  </si>
  <si>
    <t>connected to UHP Chai Chee                                                        Link</t>
  </si>
  <si>
    <t xml:space="preserve">24x7 Security Guard,
Biometric Access System                                          KDDI security : +65 6576 4950
</t>
  </si>
  <si>
    <t>LVMH ACACIA                                                     LVMH CHIC                                                             SGS Societe Generale De Surveillance SA                       Neptune Orient Lines                                         AP Moller - Maersk AS                                            B2G3M                                                          Flexible Contact Centre                                      Actis LLP                                 INTERNATIONAL SOS ASSISTANCE   Publicis</t>
  </si>
  <si>
    <t>Size of the Hosting Room:Approx. 640sqm. Capacity of the Hosting Rooms:Approx 200 Cabinets, Staging room:One mutualized staging room is available to setup the equipement.</t>
  </si>
  <si>
    <t>SERANGOON DATA CENTER, 
51 SERANGOON NORTH AVENUE 4 SINGAPORE 555858</t>
  </si>
  <si>
    <t>NTT Serangoon</t>
  </si>
  <si>
    <t>Cage 1 : JCT Cage
Cage 2 : FCA / UCaaS Cage
Cage 3 : Other Customers</t>
  </si>
  <si>
    <t>David Tay Duty Engr :                                            Office : +656419 6480 
Mobile : +65 9794 9628                                                 +65 6511 4797</t>
  </si>
  <si>
    <t>24x7 Security Guard,
Biometric Access System, 
CCTV cameras in every rack rows 
 and common areas                                                      NTT Help Desk  : +65 6871 5400</t>
  </si>
  <si>
    <t xml:space="preserve">  JCI                                                                                 TMF                                                                          LVMH CHIC                                                            Starwood Hotels                                                       FC santé                                                                    UCaaS                                           COCA COLA COMPANY      INTERNATIONAL SOS ASSISTANCE                             TMF Group                                                          OAB - MCC</t>
  </si>
  <si>
    <t>size of building (roughly) : 10,000 m2
size of the hosting area (roughly) : 5,000 m2
size occupied for our business (m2 or nb racks - roughly) : 180 m2 or 62 racks</t>
  </si>
  <si>
    <t xml:space="preserve">    SOC 1 type 2 - ISO 27001                      PCI DSS -                             Leed Green Building -        2011 BCA Green Mark
 </t>
  </si>
  <si>
    <t xml:space="preserve">TIER III+ </t>
  </si>
  <si>
    <t>15 Pioneer Walk
Singapore 627753</t>
  </si>
  <si>
    <t>Equinix SG2</t>
  </si>
  <si>
    <t>YES</t>
  </si>
  <si>
    <t>David Tay Duty Engr :                                            Office : +656419 6480 
Mobile : +65 9794 9628                                                 +65 6511 4798</t>
  </si>
  <si>
    <t xml:space="preserve">                              Local Toll Free                               Support: 800.852.3382 
Direct: Support: +65.3158.5435 
ServiceDesk@equinix.com </t>
  </si>
  <si>
    <t xml:space="preserve">         NOVARTIS PHARMA AG  Honey</t>
  </si>
  <si>
    <t>15,942 m2</t>
  </si>
  <si>
    <t xml:space="preserve">SSAE 16 / ISAE3402 SOC 1           Type II,                                    ISO 27001 - PCI-DSS  </t>
  </si>
  <si>
    <t>Equinix SG3 IBX
26A Ayer Rajah Crescent
139963, Singapore</t>
  </si>
  <si>
    <t>Equinix SG3</t>
  </si>
  <si>
    <t>David Tay Duty Engr :                                            Office : +656419 6480 
Mobile : +65 9794 9628                                                 +65 6511 4799</t>
  </si>
  <si>
    <t>2,870 m2</t>
  </si>
  <si>
    <t>Murtuza Topiwala
Office +65 65171014
Mobile +65 97102279
murtuza.topiwala@orange.com</t>
  </si>
  <si>
    <t xml:space="preserve">    FOIS on Duty : +61288768940
</t>
  </si>
  <si>
    <t xml:space="preserve">Daniel Farrugia +61403009573, Damien haddad +61407112066, John Roche
</t>
  </si>
  <si>
    <t xml:space="preserve">                      Yes                       Link</t>
  </si>
  <si>
    <t xml:space="preserve"> Contact :+61221277980                            security.northryde@orange.com </t>
  </si>
  <si>
    <t>Rio Tinto                                         BHP                                               Equant IT&amp;S</t>
  </si>
  <si>
    <t>Size of the Building: 4,185 m² 
Size of the hosting area: 1,563 m² 
Capacity of the hosting area (# cabinets): 460 (roughly)</t>
  </si>
  <si>
    <t>SYD16</t>
  </si>
  <si>
    <t xml:space="preserve">47 Bourke Road,  Alexandria NSW 2015
</t>
  </si>
  <si>
    <t>Equinix SY3</t>
  </si>
  <si>
    <t xml:space="preserve">       FOIS on Duty : +61288768940
</t>
  </si>
  <si>
    <t>Yes, extended</t>
  </si>
  <si>
    <t>Contact : +61 388205505
 ServiceDesk]equinix.com</t>
  </si>
  <si>
    <t xml:space="preserve">
International SOS
Wipro
FCA
</t>
  </si>
  <si>
    <t>Equinix SY1</t>
  </si>
  <si>
    <t>PCCW</t>
  </si>
  <si>
    <t xml:space="preserve">MCX10 - Cargo Consolidation Complex, 43 Container Port Road, Kwai Chung, Hong Kong
</t>
  </si>
  <si>
    <t>PCCW HK</t>
  </si>
  <si>
    <t>Kwok Fai Ho                                                              Office : +852 25836002                                                Fax : +852 283456890000 kwokfai.ho@orange.com</t>
  </si>
  <si>
    <t xml:space="preserve">         Kwok Fai Ho                   Office : +852 25836002     Fax : +852 283456890000 kwokfai.ho@orange.com</t>
  </si>
  <si>
    <t xml:space="preserve">NOC : +852 2883 9819
</t>
  </si>
  <si>
    <t xml:space="preserve">           Flexible Computing                   AP Moller - Maersk AS     Flemingo International Limited   International Finance Corporation</t>
  </si>
  <si>
    <t xml:space="preserve">ISO 9001 - ISO 27001                ISO 20000 - ISO 14001   ISAE 3402   ISAE 3000 </t>
  </si>
  <si>
    <t xml:space="preserve">24 x 7 service hotline : 
+852 2110 - 3673 
</t>
  </si>
  <si>
    <t>CSAV - Compañia Sudamericana de Vapores</t>
  </si>
  <si>
    <t>ISO 9001 - ISO 27001                ISO 20000 - ISO 14001   ISAE 3402</t>
  </si>
  <si>
    <t>Building No. 3
700 Jinyu Road
Pudong New Area
Shanghai 201206</t>
  </si>
  <si>
    <t>Equinix SH3</t>
  </si>
  <si>
    <t xml:space="preserve">
Dang Zhilin 
Phone: +86 10 65351563
Fax: +86 10 65352988
Mobile : +86 13911653001
zhi.dang@orange.com
</t>
  </si>
  <si>
    <t xml:space="preserve"> 
Local Toll Free: Support: 400.842.8001 
Direct: Support: +65.3158.3073 
ServiceDesk.CN@equinix.com 
</t>
  </si>
  <si>
    <t xml:space="preserve">                Schneider                   PEUGEOT CITROEN AUTOMOBILES SA               Sodexo</t>
  </si>
  <si>
    <t xml:space="preserve">SSAE 16 / ISAE3402 SOC 1           Type II,                                    ISO 27001 </t>
  </si>
  <si>
    <t>Building No.9
No.619 Longchang Road
Yangpu District
Shanghai 200090</t>
  </si>
  <si>
    <t>Equinix SH5</t>
  </si>
  <si>
    <t xml:space="preserve">
Local Toll Free: Support: 400.842.8001 
Direct: Support: +65.3158.3073 
ServiceDesk.CN@equinix.com 
</t>
  </si>
  <si>
    <t xml:space="preserve">   DSM Business Services BV</t>
  </si>
  <si>
    <t>SSAE 16 / ISAE3402 SOC 1           Type II,                                    ISO 27002</t>
  </si>
  <si>
    <t>Marriott / Starwood</t>
  </si>
  <si>
    <t>6/F, 1 Wang Wo Tsai Street
Tsuen Wan, N.T.
Hong Kong</t>
  </si>
  <si>
    <t>Equinix HK3</t>
  </si>
  <si>
    <t>Simmons and Simmons LLP</t>
  </si>
  <si>
    <t>1/F Kerry Warehouse (Tsuen Wan)
3 Shing Yiu Street
Tsuen Wan, N.T.
Hong Kong</t>
  </si>
  <si>
    <t>Equinix HK2</t>
  </si>
  <si>
    <t>BASF, BAT</t>
  </si>
  <si>
    <t xml:space="preserve">2-1-7, Higashi-shinagawa
Shinagawa-ku
Tokyo, Japan 
140-0002
</t>
  </si>
  <si>
    <t>Equinix TY8</t>
  </si>
  <si>
    <t>NISHIZU Taro OBS/CSO &lt;taro.nishizu@orange.com&gt;;
TYO Fe_List ORANGE &lt;tyo.fe.list@orange.com&gt;</t>
  </si>
  <si>
    <t>Local Toll Free: Support: 0066.3384.0073 
Direct: Support: +81 3.4520.8118
ServiceDesk.JP@equinix.com</t>
  </si>
  <si>
    <t>Takeda</t>
  </si>
  <si>
    <t xml:space="preserve"> SSAE 16 SOC-1 Type II,                                    SOC-2 type II - ISO 27001 </t>
  </si>
  <si>
    <t>TYOT04</t>
  </si>
  <si>
    <t>Tokyo No.5 DC, 3-15-2 Yushima, Bunkyo-ku, Tokyo, Japan</t>
  </si>
  <si>
    <t>NTT Tokyo</t>
  </si>
  <si>
    <t>NTT Tokyo - TYNOC-SFD
+81-33270-6617
support-cs@ntt.com</t>
  </si>
  <si>
    <t>Al Gore/Siemens/UPS</t>
  </si>
  <si>
    <t>BOMT07</t>
  </si>
  <si>
    <t>DC4, Landmark, Near Jaswanti Landmark, Netmagic Solutions Pvt Ltd Mehratex India Pvt.Ltd. Mehra Industrial Estate, LBS Rd, Vikhroli West, Mumbai, Maharashtra 400079.</t>
  </si>
  <si>
    <t>ALMEIDA Cedric OBS/CSO &lt;cedric.almeida@orange.com&gt;</t>
  </si>
  <si>
    <t>Global Service Desk
support@netmagicsolutions.com
+912267851599/ +912240411599</t>
  </si>
  <si>
    <t>APMM</t>
  </si>
  <si>
    <t>PCI DSS Ver 3
ISO/IEC 27001
ISO/IEC 20000-1
ISO 9001
CERT-IN Empanelled</t>
  </si>
  <si>
    <t>JAIN Aman OBS/SOURC
aman.jain@orange.com
TEL +91-124-6654125 (CVS ) 7-357-4025
Mobile  +91-9899969298</t>
  </si>
  <si>
    <t>Plot C-21 &amp; C-36, G Block, Bandra Kulrla Complex, Vidyanagari Post office,</t>
  </si>
  <si>
    <t>STT</t>
  </si>
  <si>
    <t>TBD</t>
  </si>
  <si>
    <t>Publicis</t>
  </si>
  <si>
    <t>ITIL
TIA 942
ISO14001
ISO20000
ISO27001
SSAE16 
ISAE3402</t>
  </si>
  <si>
    <t>SDS</t>
  </si>
  <si>
    <t>No. 368 Qin Qiao Road, Shanghai, Shanghai</t>
  </si>
  <si>
    <t>Merck</t>
  </si>
  <si>
    <t>Building No. 4
700 Jinyu Road
Pudong New Area
Shanghai 201206</t>
  </si>
  <si>
    <t>Equinix SH2</t>
  </si>
  <si>
    <t>Siemens</t>
  </si>
  <si>
    <t>#18, 19 &amp; 20, EPIP Layout, KIADB, Whitefield,</t>
  </si>
  <si>
    <t>Oak Hill</t>
  </si>
  <si>
    <t xml:space="preserve">13775 McLearen Road
Herndon, Virginia 20171
</t>
  </si>
  <si>
    <t>Equant IADX01</t>
  </si>
  <si>
    <t>Renewed for 12 years</t>
  </si>
  <si>
    <t>Dennis McMahon
Office +17034712380
Mobile +15712839791
dennis.mcmahon@orange.com</t>
  </si>
  <si>
    <t>iad.field.operation@orange.com</t>
  </si>
  <si>
    <t xml:space="preserve"> </t>
  </si>
  <si>
    <t>Yes                                          Link</t>
  </si>
  <si>
    <t xml:space="preserve">                     
 EQUANT IT&amp;S 
SGS
Rio Tinto
General Electric
International SOS
                                                    </t>
  </si>
  <si>
    <t>Size of the Building: 12,634m2
Size of the hosting area: 65.3m² 
Capacity of the hosting area (# cabinets): 30 (roughly)</t>
  </si>
  <si>
    <t>TIER II</t>
  </si>
  <si>
    <t xml:space="preserve">1033 Jefferson Street NW
Atlanta, GA  30318
</t>
  </si>
  <si>
    <t>Atlanta - QTS Metro</t>
  </si>
  <si>
    <t>Bill Owens FOIS Operational Support Site GNMC-TUL / Fault repair unit SS-Rio-NAM
atl.field.operations@orange.com</t>
  </si>
  <si>
    <t>Yes                          connected to UHP Cesson  (admin and monitoring) linked to Cesson / isolated network</t>
  </si>
  <si>
    <t>security is controlled via Access List, only approved staff will get access to the DC. Access Cards will only be handed out to authorised staff managed via secure access list embeeded in customer portal  / maintenance visits need a Temporary Access Ticket created                        Contact : +1 866 239 5000</t>
  </si>
  <si>
    <t>LVMH
Orange CLOUD
ex-JCT</t>
  </si>
  <si>
    <t>Size of Hosting cage 47.5 m2
18 cabinets used  11 empty</t>
  </si>
  <si>
    <t>Phase 2 LEED (Leadership in Energy and Environmental Design) Certified
      Second largest DC in the world
  Tier 3 DC</t>
  </si>
  <si>
    <t>ATL08</t>
  </si>
  <si>
    <t xml:space="preserve">180 Peachtree Street NW
2nd Floor
Atlanta, GA 30303
</t>
  </si>
  <si>
    <t>Equinix AT1</t>
  </si>
  <si>
    <t xml:space="preserve">security is controlled via Access List, only approved staff will get access to the DC. Access Cards will only be handed out to authorised staff managed via secure access list embeeded in customer portal  / maintenance visits need a Temporary Access Ticket created Contact : +1 888 892 0607
</t>
  </si>
  <si>
    <t>HONEY
AMCOR
MSC Cruise Line</t>
  </si>
  <si>
    <t>ISAE3402</t>
  </si>
  <si>
    <t xml:space="preserve">275 Hartz Way 
Secaucus, NJ 07094 
</t>
  </si>
  <si>
    <t>Equinix NY2</t>
  </si>
  <si>
    <t>ZZZ ECS Scheduled Orders Rio RSCC 
&lt;scheduled.orders.rio.rscc@orange.com&gt;</t>
  </si>
  <si>
    <t xml:space="preserve">security is controlled via Access List, only approved staff will get access to the DC. Access Cards will only be handed out to authorised staff managed via secure access list embeeded in customer portal  / maintenance visits need a Temporary Access Ticket created Contact : +1 866 378 4649
</t>
  </si>
  <si>
    <t>Orange Network</t>
  </si>
  <si>
    <t xml:space="preserve"> SSAE 16 SOC-1 Type II,         SOC-2 type II - ISO 27001 </t>
  </si>
  <si>
    <t xml:space="preserve">755 Secaucus Rd
Secaucus, NJ 07094 
</t>
  </si>
  <si>
    <t>Equinix NY4</t>
  </si>
  <si>
    <t xml:space="preserve">800 Secaucus Road
Secaucus, NJ 07094 
</t>
  </si>
  <si>
    <t>Equinix NY5</t>
  </si>
  <si>
    <t>LVMH
Clifford Chance</t>
  </si>
  <si>
    <t>IAD03</t>
  </si>
  <si>
    <t xml:space="preserve">21715 Filigree Court Ashburn, VA 20147
</t>
  </si>
  <si>
    <t>Equinix DC2</t>
  </si>
  <si>
    <t xml:space="preserve">General Electric International Inc  </t>
  </si>
  <si>
    <t xml:space="preserve"> SSAE 16 SOC-1 Type II,         SOC-2 type II - ISO 27001     PCI-DSS</t>
  </si>
  <si>
    <t xml:space="preserve">44470 Chilum Place Building 1 Ashburn, VA 20147
</t>
  </si>
  <si>
    <t>Equinix DC3</t>
  </si>
  <si>
    <t xml:space="preserve">
BHP Billiton
ALDI
</t>
  </si>
  <si>
    <t xml:space="preserve"> SSAE 16 SOC-1 Type II,      SOC-2 type II - ISO 27001 </t>
  </si>
  <si>
    <t xml:space="preserve">21691 Filigree Court
 Ashburn, VA 20147
</t>
  </si>
  <si>
    <t>Equinix DC4</t>
  </si>
  <si>
    <t>General Electric International Inc 
Schneider Electric  
NOVARTIS PHARMA AG
Orange NETWORK</t>
  </si>
  <si>
    <t xml:space="preserve"> SSAE 16 SOC-1 Type II,        SOC-2 type II - ISO 27001 </t>
  </si>
  <si>
    <t>Main Entrance via DC6
21721 Filigree Court
Ashburn, VA 20147</t>
  </si>
  <si>
    <t>Equinix DC11</t>
  </si>
  <si>
    <t>22451 Shaw Road
Sterling, VA  20166</t>
  </si>
  <si>
    <t>NTT Sterling</t>
  </si>
  <si>
    <t xml:space="preserve">NTT Helpdesk : +1 866 777 2673
</t>
  </si>
  <si>
    <t>Orb comm Networks LLC</t>
  </si>
  <si>
    <t xml:space="preserve">2334 Lundy Place
San Jose, CA  95131
</t>
  </si>
  <si>
    <t>NTT San Jose</t>
  </si>
  <si>
    <t xml:space="preserve">  Rio Tinto
Publicis</t>
  </si>
  <si>
    <t>32 Avenue of the Americas
7th Floor
New York, NY</t>
  </si>
  <si>
    <t>Coresite New York</t>
  </si>
  <si>
    <t xml:space="preserve">CoreSite Helpdesk :  +1 866 777 2673
</t>
  </si>
  <si>
    <t>BHP BILLITON</t>
  </si>
  <si>
    <t>350 East Cermak Rd
8th Floor
Chicago, IL 60616</t>
  </si>
  <si>
    <t>Equinix CH1</t>
  </si>
  <si>
    <t>chi.field.operation@orange.com</t>
  </si>
  <si>
    <t>Google</t>
  </si>
  <si>
    <t>Equinix CH4</t>
  </si>
  <si>
    <t xml:space="preserve">ALDI
</t>
  </si>
  <si>
    <t>ADN by 
UFINET LATAM</t>
  </si>
  <si>
    <t xml:space="preserve">ADN Datacenters, Zona Franca SARET Edificio B8  Alajuela Costa Rica
</t>
  </si>
  <si>
    <t xml:space="preserve">       ADN by UFINET       San Jose</t>
  </si>
  <si>
    <t>ADN by UFINET</t>
  </si>
  <si>
    <t>TMF Group</t>
  </si>
  <si>
    <t>Equinix SP3</t>
  </si>
  <si>
    <t xml:space="preserve">Equinix Helpdesk :  +(11).3524.4300
</t>
  </si>
  <si>
    <t>SAIPEM and BAT, OINIS</t>
  </si>
  <si>
    <t>2 racks</t>
  </si>
  <si>
    <t xml:space="preserve"> SSAE 16 SOC-1 Type II,                                    ISO 27001 - PCI-DSS            ISO 9001-2008                    SAP Certified in infrastructure operations</t>
  </si>
  <si>
    <t xml:space="preserve">Al. Araguaia 3641 - Tamboré Barueri - SP  CEP: 06455-000
</t>
  </si>
  <si>
    <t>Equinix SP2</t>
  </si>
  <si>
    <t>Equinix Helpdesk: + (21).3083.3333</t>
  </si>
  <si>
    <t xml:space="preserve">          TMF Group</t>
  </si>
  <si>
    <t>3 racks</t>
  </si>
  <si>
    <t>Equinix RJ1 - former ALOG DC</t>
  </si>
  <si>
    <t xml:space="preserve"> Tel +1.408.451.5200
support@equinix.com</t>
  </si>
  <si>
    <t xml:space="preserve">GSK
GlaxoSmithKline Services Unlimited    </t>
  </si>
  <si>
    <t>7 racks</t>
  </si>
  <si>
    <t>ISO 22301:2012
• ISO 27001:2013
• ISO 9001:2015
• PCI DSS
• SOC 1 Type
• SOC 2 Type
• SSAE18/ISAE3402
• 3.2 SAP Infrastructure Operations
Services</t>
  </si>
  <si>
    <t>Level3 Century Link</t>
  </si>
  <si>
    <t xml:space="preserve"> Century Link Buenos aeres</t>
  </si>
  <si>
    <t>BASF</t>
  </si>
  <si>
    <t>Huawei IPCC</t>
  </si>
  <si>
    <t xml:space="preserve"> Century Link Sao Paulo</t>
  </si>
  <si>
    <t>1/3 rack</t>
  </si>
  <si>
    <t xml:space="preserve"> +1 833-479-4400</t>
  </si>
  <si>
    <t>ISO 9001
ISO 27001
SOX</t>
  </si>
  <si>
    <t>CCTV Daimler</t>
  </si>
  <si>
    <t>ISO 9001</t>
  </si>
  <si>
    <t>Equinix AT2</t>
  </si>
  <si>
    <t>1950 North Stemmons Freeway
Suite 2014
Dallas, TX 75207</t>
  </si>
  <si>
    <t>Equinix DA3</t>
  </si>
  <si>
    <t xml:space="preserve">Novartis
</t>
  </si>
  <si>
    <t>Equinix DE1</t>
  </si>
  <si>
    <t>Agilent &amp; Keysight</t>
  </si>
  <si>
    <t xml:space="preserve">165 Halsey Street
8th Floor
Newark, NJ 07102
</t>
  </si>
  <si>
    <t>Equinix NY1</t>
  </si>
  <si>
    <t xml:space="preserve">
GlaxoSmithKline Services Unlimited    </t>
  </si>
  <si>
    <t>111 6th Avenue
 New York, NY 100110</t>
  </si>
  <si>
    <t>Equinix NY9</t>
  </si>
  <si>
    <t xml:space="preserve">
Seimens AG</t>
  </si>
  <si>
    <t>SOC-1 Type II
SOC-2 type II 
 ISO 27001 
PCI-DSS
NIST 800-53/FISMA</t>
  </si>
  <si>
    <t>2010 Sixth Avenue
Suite 1202
Seatle, WA 98121</t>
  </si>
  <si>
    <t>Equinix SE2</t>
  </si>
  <si>
    <t>2020 Fifth Avenue
5th Floor
Seatle, WA 98121</t>
  </si>
  <si>
    <t>Equinix SE3</t>
  </si>
  <si>
    <t>Rio Tinto</t>
  </si>
  <si>
    <t xml:space="preserve">11 Great Oaks Boulevard
San Jose, CA  95119
</t>
  </si>
  <si>
    <t>Equinix SV1</t>
  </si>
  <si>
    <t>Seimens AG</t>
  </si>
  <si>
    <t xml:space="preserve">9 Great Oaks Boulevard
San Jose, CA  95119
</t>
  </si>
  <si>
    <t>Equinix SV5</t>
  </si>
  <si>
    <t>Google
SONY</t>
  </si>
  <si>
    <t xml:space="preserve">1905 Lunt Ave.  Elk Grove Village, IL 60007 
</t>
  </si>
  <si>
    <t>Equinix CH3</t>
  </si>
  <si>
    <t>Provider:</t>
  </si>
  <si>
    <t>City</t>
  </si>
  <si>
    <t>State</t>
  </si>
  <si>
    <t>Zip Code</t>
  </si>
  <si>
    <t>IBX</t>
  </si>
  <si>
    <t>Description</t>
  </si>
  <si>
    <t>Cabinets</t>
  </si>
  <si>
    <t>Cabinet count</t>
  </si>
  <si>
    <t>Customer</t>
  </si>
  <si>
    <t>OCB Customer Code</t>
  </si>
  <si>
    <t>Comments</t>
  </si>
  <si>
    <t>180 Peachtree Street NW</t>
  </si>
  <si>
    <t>AT1:02:020900</t>
  </si>
  <si>
    <t>0804</t>
  </si>
  <si>
    <t>MSC Cruise</t>
  </si>
  <si>
    <t>MSC Cruise has cancelled service w/Orange.  Cabinet shall be returned to Equinix at 29-Feb-24 contract expiration.</t>
  </si>
  <si>
    <t>0609</t>
  </si>
  <si>
    <t>SITA/UPS/Zayo</t>
  </si>
  <si>
    <t>350 East Cermak Road, 5th Floor</t>
  </si>
  <si>
    <t>Illinios</t>
  </si>
  <si>
    <t>CH1:05:000060</t>
  </si>
  <si>
    <t>0111</t>
  </si>
  <si>
    <t>ZF Friedrichshafen AG</t>
  </si>
  <si>
    <t>351 East Cermak Road, 6th Floor</t>
  </si>
  <si>
    <t>CH2:06:004440</t>
  </si>
  <si>
    <t>0401</t>
  </si>
  <si>
    <t>Roche</t>
  </si>
  <si>
    <t>350 East Cermak Road, 8th Floor</t>
  </si>
  <si>
    <t>CH4:08:008900</t>
  </si>
  <si>
    <t>0305</t>
  </si>
  <si>
    <t>ALDI Int Services GmbH and Co oHG</t>
  </si>
  <si>
    <t>21721 Filigree Court</t>
  </si>
  <si>
    <t>DC11:02:021525</t>
  </si>
  <si>
    <t>0101 - 0105</t>
  </si>
  <si>
    <t xml:space="preserve"> Airbus Group SAS</t>
  </si>
  <si>
    <t>44470 Chilum Place</t>
  </si>
  <si>
    <t>DC3:01:009000</t>
  </si>
  <si>
    <t>0312</t>
  </si>
  <si>
    <t>DC3:01:005000</t>
  </si>
  <si>
    <t>United Nations (UNSec)</t>
  </si>
  <si>
    <t>DC3:01:008100</t>
  </si>
  <si>
    <t>0128</t>
  </si>
  <si>
    <t>21691 Filigree Court</t>
  </si>
  <si>
    <t>DC4:01:040390</t>
  </si>
  <si>
    <t>DC4:01:041275</t>
  </si>
  <si>
    <t>0103</t>
  </si>
  <si>
    <t>GSK/Enel/Maersk</t>
  </si>
  <si>
    <t>DC4:01:041485</t>
  </si>
  <si>
    <t>0120</t>
  </si>
  <si>
    <t>0213</t>
  </si>
  <si>
    <t>Siemens AG</t>
  </si>
  <si>
    <t>DC4:01:042495</t>
  </si>
  <si>
    <t>Mars</t>
  </si>
  <si>
    <t>0212</t>
  </si>
  <si>
    <t>165 Halsey Street</t>
  </si>
  <si>
    <t>07102</t>
  </si>
  <si>
    <t>NY1:08:000010</t>
  </si>
  <si>
    <t>0124</t>
  </si>
  <si>
    <t>GlaxoSmithKline Services Unlimited</t>
  </si>
  <si>
    <t>275 Hartz Way</t>
  </si>
  <si>
    <t>07094</t>
  </si>
  <si>
    <t>NY2:01:000260</t>
  </si>
  <si>
    <t>0202</t>
  </si>
  <si>
    <t>800 Secaucus Road</t>
  </si>
  <si>
    <t>NY5:01:522165</t>
  </si>
  <si>
    <t>0109, 0110</t>
  </si>
  <si>
    <t>111 8th Avenue</t>
  </si>
  <si>
    <t>NY9:07:072310</t>
  </si>
  <si>
    <t>0303</t>
  </si>
  <si>
    <t>All services to be transferred to Equinix NY6 (QLP5.0) by Q4 2024.  Cabinet shall be returned to Equinix at 14-Jan-25 contract termination date.</t>
  </si>
  <si>
    <t>2001 Sixth Ave. Suite 1202</t>
  </si>
  <si>
    <t>SE2:13:013080</t>
  </si>
  <si>
    <t>0106</t>
  </si>
  <si>
    <t>SE2:11:011535</t>
  </si>
  <si>
    <t>2020 Fifth Ave.</t>
  </si>
  <si>
    <t>SE3:07:070200</t>
  </si>
  <si>
    <t>0907</t>
  </si>
  <si>
    <t>11 Great Oaks Boulevard</t>
  </si>
  <si>
    <t>SV1:01:001270</t>
  </si>
  <si>
    <t>9 Great Oaks Boulevard</t>
  </si>
  <si>
    <t>SV5:01:051785</t>
  </si>
  <si>
    <t>SV5:01:052305</t>
  </si>
  <si>
    <t>0102, 0103</t>
  </si>
  <si>
    <t>SONY Pictures Entertainment</t>
  </si>
  <si>
    <t>7 Great Oaks Boulevard</t>
  </si>
  <si>
    <t>SV10:02:023405</t>
  </si>
  <si>
    <t>0201, 0202</t>
  </si>
  <si>
    <t>0214</t>
  </si>
  <si>
    <t>AT1:02:022170</t>
  </si>
  <si>
    <t>0101 - 0410</t>
  </si>
  <si>
    <t>Orange Hosting - 2 x Kuehne and Nagel, .5 x Schenker, .5 x United Nations, .5 x Blue Tide, .5 x Coface, 4 x Siemens/Varian, 17 x Open</t>
  </si>
  <si>
    <t>0104, 0105, 0106</t>
  </si>
  <si>
    <t>SONY Electronics - AMER</t>
  </si>
  <si>
    <t>1950 North Stemmons Freeway</t>
  </si>
  <si>
    <t>DA3:01:010325</t>
  </si>
  <si>
    <t>Maersk Line AS</t>
  </si>
  <si>
    <t>DC11:01:011216</t>
  </si>
  <si>
    <t>0112</t>
  </si>
  <si>
    <t>DC21:01:111325</t>
  </si>
  <si>
    <t>Thales</t>
  </si>
  <si>
    <t>DA3:01:010315</t>
  </si>
  <si>
    <t>0311</t>
  </si>
  <si>
    <t>DXC/IntSOS</t>
  </si>
  <si>
    <t>BASF/Saipem SpA</t>
  </si>
  <si>
    <t>684808/661603</t>
  </si>
  <si>
    <t>0612</t>
  </si>
  <si>
    <t>Mexichem (Orbia)</t>
  </si>
  <si>
    <t>Customer has cancelled services w/Orange.  Cabinet shall be returned to Equinix at 14-Apr-24 contract expiration.</t>
  </si>
  <si>
    <t>NY5:01:521585</t>
  </si>
  <si>
    <t>0107 - 0110</t>
  </si>
  <si>
    <t>Clifford Chance</t>
  </si>
  <si>
    <t>1735 Lundy Avenue</t>
  </si>
  <si>
    <t>SV3:01:004180</t>
  </si>
  <si>
    <t>Union Pay</t>
  </si>
  <si>
    <t>21830 Uunet Way</t>
  </si>
  <si>
    <t>DC13:01:313285</t>
  </si>
  <si>
    <t>Culpepper</t>
  </si>
  <si>
    <t>18155 Technology Drive, Building B</t>
  </si>
  <si>
    <t>CU2:01:211320</t>
  </si>
  <si>
    <t>NY5:01:051222</t>
  </si>
  <si>
    <t>0101</t>
  </si>
  <si>
    <t>SITA/UPS</t>
  </si>
  <si>
    <t>0102</t>
  </si>
  <si>
    <t>Siemens QLP5.0</t>
  </si>
  <si>
    <t xml:space="preserve">SE2:05:050010 </t>
  </si>
  <si>
    <t>0601</t>
  </si>
  <si>
    <t xml:space="preserve">SV1:01:001300 </t>
  </si>
  <si>
    <t>0110</t>
  </si>
  <si>
    <t>105 Enterprise Avenue South</t>
  </si>
  <si>
    <t>NY6:01:001114</t>
  </si>
  <si>
    <t>0414</t>
  </si>
  <si>
    <t>1033 Jefferson St. NW</t>
  </si>
  <si>
    <t>2E2 104-14</t>
  </si>
  <si>
    <t>A01F - D10F</t>
  </si>
  <si>
    <t>14 x B2GaaS, 4 x OAB, 2 x OINIS Network, 7 x SITA/Karine, 2 x FCC, 13 x Open</t>
  </si>
  <si>
    <t>1950 N Stemmons Fwy.</t>
  </si>
  <si>
    <t>DAL3.2.2004.01.A</t>
  </si>
  <si>
    <t>C0001 - C006</t>
  </si>
  <si>
    <t>ZTE/China</t>
  </si>
  <si>
    <t>DRT</t>
  </si>
  <si>
    <t>350 East Cermak Road</t>
  </si>
  <si>
    <t>430.C1</t>
  </si>
  <si>
    <t>430.C1.01, 430.C1.02</t>
  </si>
  <si>
    <t>Trelleborg, Publicis</t>
  </si>
  <si>
    <t>900 North Alameda Street</t>
  </si>
  <si>
    <t>LA2.CRLL100C</t>
  </si>
  <si>
    <t>China Eastern/SITA</t>
  </si>
  <si>
    <t>2 Emerson Lane</t>
  </si>
  <si>
    <t>NY2-01-0101-CORE-0208</t>
  </si>
  <si>
    <t>UPS</t>
  </si>
  <si>
    <t>13775 McLearen Road</t>
  </si>
  <si>
    <t>Rooms L2001, L1004, L1001</t>
  </si>
  <si>
    <t>2 x Akzo Nobel, 3 x Flex SSL, 2 x B2G3Mi, 1 x B2GUAH, 7 x CIC v2, 2.1 x Heineken, 2 x JLR, 2 x Maersk, 3 x Philips/Versani/Signify, .5 x United Nations, .5 x U.S. Customs</t>
  </si>
  <si>
    <t>Site to be closed 30-Sep-24.  Orange internal customers shall be moved to alternate platforms.  Orange external customers shall be moved to Equinix DC's.</t>
  </si>
  <si>
    <t>Facility Name</t>
  </si>
  <si>
    <t>Floor Space Utilization</t>
  </si>
  <si>
    <t>Colocation Ready</t>
  </si>
  <si>
    <t>Notes</t>
  </si>
  <si>
    <t>ams1</t>
  </si>
  <si>
    <t>NL</t>
  </si>
  <si>
    <t>Luttenbergweg 4, 1101 EC Amsterdam, Netherlands</t>
  </si>
  <si>
    <t>Not to promote</t>
  </si>
  <si>
    <t>Will be terminated in 2024</t>
  </si>
  <si>
    <t>ams2</t>
  </si>
  <si>
    <t>Tupolevlaan 101, 1119 PA Schiphol Rijk, Netherlands</t>
  </si>
  <si>
    <t>osl3</t>
  </si>
  <si>
    <t>NO</t>
  </si>
  <si>
    <t>Orange DSE</t>
  </si>
  <si>
    <t>Opportunistic - colocation</t>
  </si>
  <si>
    <t>osl4</t>
  </si>
  <si>
    <t>osl4 is used for backup data only</t>
  </si>
  <si>
    <t>osl5</t>
  </si>
  <si>
    <t>sth2</t>
  </si>
  <si>
    <t>SE</t>
  </si>
  <si>
    <t>sth6</t>
  </si>
  <si>
    <t>sth7</t>
  </si>
  <si>
    <t>sth7 is used for backup data only</t>
  </si>
  <si>
    <t>ber1</t>
  </si>
  <si>
    <t>DE</t>
  </si>
  <si>
    <t>fra1</t>
  </si>
  <si>
    <t>Eschborner Landstraße 100, 60489 Frankfurt am Main, Germany</t>
  </si>
  <si>
    <t>zh5</t>
  </si>
  <si>
    <t>CH</t>
  </si>
  <si>
    <t>Allmendstrasse 9, Oberengstringen, 8102, Switzerland</t>
  </si>
  <si>
    <t>1 rack only</t>
  </si>
  <si>
    <t>gv1</t>
  </si>
  <si>
    <t>Rue de la Confederation 6, Geneva, 1204, Switzerland</t>
  </si>
  <si>
    <t>CityArea</t>
  </si>
  <si>
    <t>DataCenterName</t>
  </si>
  <si>
    <t>SiteCodeOrange</t>
  </si>
  <si>
    <t>latitude</t>
  </si>
  <si>
    <t>longitude</t>
  </si>
  <si>
    <t>PlazzaLink</t>
  </si>
  <si>
    <t>To be created</t>
  </si>
  <si>
    <t>40.720097</t>
  </si>
  <si>
    <t>-74.004630</t>
  </si>
  <si>
    <t xml:space="preserve">350 East Cermak Rd 8th Floor  Chicago, IL 60616 </t>
  </si>
  <si>
    <t>40.777869</t>
  </si>
  <si>
    <t>-74.0696322</t>
  </si>
  <si>
    <t>44470 Chilum Place Building 1 Ashburn, VA 20147</t>
  </si>
  <si>
    <t>39.022031</t>
  </si>
  <si>
    <t>-77.461919</t>
  </si>
  <si>
    <t>SAO27</t>
  </si>
  <si>
    <t>-23.502607</t>
  </si>
  <si>
    <t>-46.827229</t>
  </si>
  <si>
    <t>UFINET</t>
  </si>
  <si>
    <t>9.95074000</t>
  </si>
  <si>
    <t>-84.15925900</t>
  </si>
  <si>
    <t>https://plazza.orange.com/docs/DOC-520613</t>
  </si>
  <si>
    <t>Equant Atlanta</t>
  </si>
  <si>
    <t>ATLX01</t>
  </si>
  <si>
    <t>Equant Inc, 275 Decatur St SE, Atlanta, GA 30312</t>
  </si>
  <si>
    <t>33.7497</t>
  </si>
  <si>
    <t>-84.38101</t>
  </si>
  <si>
    <t>https://plazza.orange.com/docs/DOC-725815</t>
  </si>
  <si>
    <t>13775 McLearen Road Herndon, Virginia 20171</t>
  </si>
  <si>
    <t>38.92711</t>
  </si>
  <si>
    <t>-77.42415</t>
  </si>
  <si>
    <t>https://plazza.orange.com/docs/DOC-516502</t>
  </si>
  <si>
    <t>180 N Peachtree Street NW, 2nd Floor, Atlanta, GA 30303</t>
  </si>
  <si>
    <t>33.7585201</t>
  </si>
  <si>
    <t>-84.3883852</t>
  </si>
  <si>
    <t>275 Hartz Way, Secaucus, NJ 07094</t>
  </si>
  <si>
    <t>UYK03</t>
  </si>
  <si>
    <t>800 Secaucus Rd, Secaucus, NJ 07094</t>
  </si>
  <si>
    <t>40.778742</t>
  </si>
  <si>
    <t>-74.0720912</t>
  </si>
  <si>
    <t>IADL01</t>
  </si>
  <si>
    <t>21721 Filigree Ct, Ashburn, VA 20147</t>
  </si>
  <si>
    <t>DC2</t>
  </si>
  <si>
    <t>21715 Filigree Ct, Ashburn, VA 20147</t>
  </si>
  <si>
    <t>39.016494</t>
  </si>
  <si>
    <t>-77.4592617</t>
  </si>
  <si>
    <t>21691 Filigree Ct, Ashburn, VA 20147</t>
  </si>
  <si>
    <t>39.016744</t>
  </si>
  <si>
    <t>-77.4618442</t>
  </si>
  <si>
    <t>ATL06</t>
  </si>
  <si>
    <t>1033 Jefferson Street NW, Atlanta, Georgia  30318</t>
  </si>
  <si>
    <t>33.77567</t>
  </si>
  <si>
    <t>-84.42229</t>
  </si>
  <si>
    <t>https://plazza.orange.com/docs/DOC-513523</t>
  </si>
  <si>
    <t>SJCL03</t>
  </si>
  <si>
    <t>7 Great Oaks BoulevardSan Jose, CA 95119</t>
  </si>
  <si>
    <t>-121.78482</t>
  </si>
  <si>
    <t xml:space="preserve">CHIL03 </t>
  </si>
  <si>
    <t>350 East Cermak Road, CHICAGO 60016, 4th Floor</t>
  </si>
  <si>
    <t>-87.61845</t>
  </si>
  <si>
    <t>900 N Alameda St., Los Angeles, CA 90012</t>
  </si>
  <si>
    <t>-118.23537</t>
  </si>
  <si>
    <t>-33.91817348036188</t>
  </si>
  <si>
    <t>151.18936453225894</t>
  </si>
  <si>
    <t>-33.837106079773754</t>
  </si>
  <si>
    <t>151.05332489670596</t>
  </si>
  <si>
    <t>-34.46295898566983</t>
  </si>
  <si>
    <t>150.85779826529028</t>
  </si>
  <si>
    <t>Fortitude Valley, Brisbane, Australie , QLD 4006</t>
  </si>
  <si>
    <t>-27.455110647397515</t>
  </si>
  <si>
    <t>153.03399703341603</t>
  </si>
  <si>
    <t>-37.822951877199216</t>
  </si>
  <si>
    <t>144.91537277098612</t>
  </si>
  <si>
    <t>22.3678135</t>
  </si>
  <si>
    <t>114.1175097</t>
  </si>
  <si>
    <t>New Address: Shanghai Data Solution Co.,Ltd, 3F,No.23 Building 498 Guoshoujing Rd. Shanghai Pudong Software Park, Zhangjiang High Technology Park Pu Dong P.R.China, 上海市浦东郭守敬路498号23号楼3楼 吴鸿豪 13310105096</t>
  </si>
  <si>
    <t>19.114687595124575</t>
  </si>
  <si>
    <t>72.89059945306876</t>
  </si>
  <si>
    <t>SYDEQXSY1</t>
  </si>
  <si>
    <t>-33.92128292993337</t>
  </si>
  <si>
    <t>151.1881950649522</t>
  </si>
  <si>
    <t>-33.92183143320534</t>
  </si>
  <si>
    <t>151.18818621026057</t>
  </si>
  <si>
    <t>-33.9182</t>
  </si>
  <si>
    <t>151.18936</t>
  </si>
  <si>
    <t>31.338113071054455</t>
  </si>
  <si>
    <t>121.45658300657394</t>
  </si>
  <si>
    <t>39.9753874583294</t>
  </si>
  <si>
    <t>116.49998961963504</t>
  </si>
  <si>
    <t>31.2464116</t>
  </si>
  <si>
    <t>121.6198862</t>
  </si>
  <si>
    <t>31.2767604</t>
  </si>
  <si>
    <t>121.5417549</t>
  </si>
  <si>
    <t>22.362483</t>
  </si>
  <si>
    <t>114.119171</t>
  </si>
  <si>
    <t>19.114714678817467</t>
  </si>
  <si>
    <t>72.89039619739009</t>
  </si>
  <si>
    <t>Bengaluru</t>
  </si>
  <si>
    <t>BLRC09</t>
  </si>
  <si>
    <t>12.8430636</t>
  </si>
  <si>
    <t>77.656476</t>
  </si>
  <si>
    <t>Mumbai DC3</t>
  </si>
  <si>
    <t>https://plazza.orange.com/docs/DOC-2345842</t>
  </si>
  <si>
    <t>12.9743773</t>
  </si>
  <si>
    <t>77.7151616</t>
  </si>
  <si>
    <t>OS1, Dojima No.1 DC</t>
  </si>
  <si>
    <t>Dojima No.1 DC, 3-1-59 Dojima Kita-ku, Osaka-shi, Osaka 530-0003, Japan</t>
  </si>
  <si>
    <t>https://plazza.orange.com/docs/DOC-2345844</t>
  </si>
  <si>
    <t>1.2953335038027352</t>
  </si>
  <si>
    <t>103.78985142155884</t>
  </si>
  <si>
    <t>https://plazza.orange.com/docs/DOC-514331</t>
  </si>
  <si>
    <t>1.321366</t>
  </si>
  <si>
    <t>103.695931</t>
  </si>
  <si>
    <t>1.2965225</t>
  </si>
  <si>
    <t>103.7881333</t>
  </si>
  <si>
    <t>SINF05</t>
  </si>
  <si>
    <t>48.9837068</t>
  </si>
  <si>
    <t>2.5049735</t>
  </si>
  <si>
    <t>48.905307</t>
  </si>
  <si>
    <t>2.369748</t>
  </si>
  <si>
    <t>48.9040026</t>
  </si>
  <si>
    <t>2.2552875</t>
  </si>
  <si>
    <t>PA8x</t>
  </si>
  <si>
    <t>48.9006090</t>
  </si>
  <si>
    <t>2.4227471</t>
  </si>
  <si>
    <t>48.92765</t>
  </si>
  <si>
    <t>2.39735</t>
  </si>
  <si>
    <t>https://plazza.orange.com/docs/DOC-2345257</t>
  </si>
  <si>
    <t>45.16843254451269</t>
  </si>
  <si>
    <t>5.714986545821184</t>
  </si>
  <si>
    <t>45.16848</t>
  </si>
  <si>
    <t>5.71510</t>
  </si>
  <si>
    <t>48.86988</t>
  </si>
  <si>
    <t>2.34421</t>
  </si>
  <si>
    <t>48.72599</t>
  </si>
  <si>
    <t>2.07867</t>
  </si>
  <si>
    <t>43.33863</t>
  </si>
  <si>
    <t>5.34785</t>
  </si>
  <si>
    <t>XVP34</t>
  </si>
  <si>
    <t>48.927866</t>
  </si>
  <si>
    <t>2.3516347</t>
  </si>
  <si>
    <t>48.927166</t>
  </si>
  <si>
    <t>2.3504347</t>
  </si>
  <si>
    <t>48.901822</t>
  </si>
  <si>
    <t>2.418110</t>
  </si>
  <si>
    <t>48.9104676</t>
  </si>
  <si>
    <t>2.365813</t>
  </si>
  <si>
    <t>44.895961</t>
  </si>
  <si>
    <t>-0.611680</t>
  </si>
  <si>
    <t>48.1305764</t>
  </si>
  <si>
    <t>-1.6260139</t>
  </si>
  <si>
    <t>https://plazza.orange.com/docs/DOC-619637</t>
  </si>
  <si>
    <t>Chevilly</t>
  </si>
  <si>
    <t>PARH05</t>
  </si>
  <si>
    <t>48.76072</t>
  </si>
  <si>
    <t>2.36484</t>
  </si>
  <si>
    <t>CVL</t>
  </si>
  <si>
    <t>QTJH02</t>
  </si>
  <si>
    <t>CCWG+MX3, 28300 Amilly</t>
  </si>
  <si>
    <t>48.4471606</t>
  </si>
  <si>
    <t>1.4130762</t>
  </si>
  <si>
    <t>Normandie (DCN) - DIF</t>
  </si>
  <si>
    <t>UROH01</t>
  </si>
  <si>
    <t>49.26406</t>
  </si>
  <si>
    <t>1.18808</t>
  </si>
  <si>
    <t>Rueil</t>
  </si>
  <si>
    <t>48.88377</t>
  </si>
  <si>
    <t>2.18645</t>
  </si>
  <si>
    <t>PARP33</t>
  </si>
  <si>
    <t>48.91431</t>
  </si>
  <si>
    <t>2.36241</t>
  </si>
  <si>
    <t>TH2 - Léon Frot</t>
  </si>
  <si>
    <t>PARF20</t>
  </si>
  <si>
    <t>65 Rue Léon Frot, 75011 Paris</t>
  </si>
  <si>
    <t>48.856675777018765</t>
  </si>
  <si>
    <t>2.385318569318813</t>
  </si>
  <si>
    <t>PARP32</t>
  </si>
  <si>
    <t>48.85607</t>
  </si>
  <si>
    <t>2.38341</t>
  </si>
  <si>
    <t>43.31081</t>
  </si>
  <si>
    <t>5.37367</t>
  </si>
  <si>
    <t>BrightSolid</t>
  </si>
  <si>
    <t>ABZ03</t>
  </si>
  <si>
    <t>Journals, Aberdeen AB15 6DF</t>
  </si>
  <si>
    <t>57.152510</t>
  </si>
  <si>
    <t>-2.160308</t>
  </si>
  <si>
    <t>51.478216</t>
  </si>
  <si>
    <t>-0.364696</t>
  </si>
  <si>
    <t>https://plazza.orange.com/docs/DOC-517449</t>
  </si>
  <si>
    <t>51.52454</t>
  </si>
  <si>
    <t>-0.63528</t>
  </si>
  <si>
    <t>ITSH04</t>
  </si>
  <si>
    <t>51.524601</t>
  </si>
  <si>
    <t>-0.635036</t>
  </si>
  <si>
    <t>51.525982257511465</t>
  </si>
  <si>
    <t>-0.6359144842391278</t>
  </si>
  <si>
    <t>LONC64</t>
  </si>
  <si>
    <t>51.49827859140971</t>
  </si>
  <si>
    <t>-0.015174343072120079</t>
  </si>
  <si>
    <t>LON02</t>
  </si>
  <si>
    <t>51.5309166</t>
  </si>
  <si>
    <t>-0.2580453</t>
  </si>
  <si>
    <t>51.5312276</t>
  </si>
  <si>
    <t>-0.2468826</t>
  </si>
  <si>
    <t>https://plazza.orange.com/docs/DOC-521886</t>
  </si>
  <si>
    <t>FRAT01</t>
  </si>
  <si>
    <t>50.13146000</t>
  </si>
  <si>
    <t>8.56942200</t>
  </si>
  <si>
    <t>50.098924641002185</t>
  </si>
  <si>
    <t>8.63197568421818</t>
  </si>
  <si>
    <t>50.09793</t>
  </si>
  <si>
    <t>8.58784</t>
  </si>
  <si>
    <t>50.09709757293212</t>
  </si>
  <si>
    <t>8.588019890597565</t>
  </si>
  <si>
    <t>50.09878890</t>
  </si>
  <si>
    <t>8.63195560</t>
  </si>
  <si>
    <t>50.096928389106054</t>
  </si>
  <si>
    <t>8.643983411991607</t>
  </si>
  <si>
    <t>Kruppstrasse 121-127), Frankfurt, Germany, 60388</t>
  </si>
  <si>
    <t>50.141895</t>
  </si>
  <si>
    <t>8.741764</t>
  </si>
  <si>
    <t>Via Savona, 125, Milan, mi, IT, 20144</t>
  </si>
  <si>
    <t>45.448684</t>
  </si>
  <si>
    <t>9.147292</t>
  </si>
  <si>
    <t>Morocco</t>
  </si>
  <si>
    <t>27000 Nouaceur Morocco</t>
  </si>
  <si>
    <t>33.367853</t>
  </si>
  <si>
    <t>-7.568145</t>
  </si>
  <si>
    <t>Amsterdam CESSNA</t>
  </si>
  <si>
    <t>52.28190000</t>
  </si>
  <si>
    <t>4.76760000</t>
  </si>
  <si>
    <t>52.299775</t>
  </si>
  <si>
    <t>4.942595</t>
  </si>
  <si>
    <t>52.300729520173</t>
  </si>
  <si>
    <t>4.941667506488238</t>
  </si>
  <si>
    <t>ZWZT01</t>
  </si>
  <si>
    <t>52.29349050433247</t>
  </si>
  <si>
    <t>4.945230535768643</t>
  </si>
  <si>
    <t>52.355018</t>
  </si>
  <si>
    <t>4.95093</t>
  </si>
  <si>
    <t>52.35476192444911</t>
  </si>
  <si>
    <t>4.961284246280132</t>
  </si>
  <si>
    <t>52.337377844143354</t>
  </si>
  <si>
    <t>4.933732350883433</t>
  </si>
  <si>
    <t>Johannesburg</t>
  </si>
  <si>
    <t>JNBF01</t>
  </si>
  <si>
    <t>5 Brewery St, Isando, Kempton Park, 1600, South Africa</t>
  </si>
  <si>
    <t>-26.135396</t>
  </si>
  <si>
    <t>28.221874</t>
  </si>
  <si>
    <t>https://plazza.orange.com/docs/DOC-2346833</t>
  </si>
  <si>
    <t>JB3</t>
  </si>
  <si>
    <t>JNBT02</t>
  </si>
  <si>
    <t>28.199605</t>
  </si>
  <si>
    <t>-26.0341978</t>
  </si>
  <si>
    <t>28.0676883</t>
  </si>
  <si>
    <t>https://plazza.orange.com/docs/DOC-514277</t>
  </si>
  <si>
    <t>MADF12</t>
  </si>
  <si>
    <t>40.439498</t>
  </si>
  <si>
    <t>-3.62142</t>
  </si>
  <si>
    <t>Josefstrasse 225, Zurich, Switzerland, 8005</t>
  </si>
  <si>
    <t>47.387902</t>
  </si>
  <si>
    <t>8.520354</t>
  </si>
  <si>
    <t>https://plazza.orange.com/docs/DOC-904055</t>
  </si>
  <si>
    <t>47.387884214488395</t>
  </si>
  <si>
    <t>8.520287882213434</t>
  </si>
  <si>
    <t>Allmendstrasse 9, Oberengstringen, Switzerland, 8102</t>
  </si>
  <si>
    <t>47.405812</t>
  </si>
  <si>
    <t>8.460683</t>
  </si>
  <si>
    <t>Albulastrasse 55, CH-8048 ZURICH</t>
  </si>
  <si>
    <t>47.41488784</t>
  </si>
  <si>
    <t>8.55156607</t>
  </si>
  <si>
    <t>Rue de la Confederation 6, Geneva, CH, Switzerland, 1204</t>
  </si>
  <si>
    <t>46.203667</t>
  </si>
  <si>
    <t>6.144295</t>
  </si>
  <si>
    <t>Route du Bois-des-Freres 48, Le Lignon, Switzerland, 1219</t>
  </si>
  <si>
    <t>46.207922</t>
  </si>
  <si>
    <t>6.097847</t>
  </si>
  <si>
    <t>41.076048</t>
  </si>
  <si>
    <t>29.011806</t>
  </si>
  <si>
    <t>https://plazza.orange.com/docs/DOC-2346809</t>
  </si>
  <si>
    <t>40.932904</t>
  </si>
  <si>
    <t>29.379978</t>
  </si>
  <si>
    <t>DXBT08</t>
  </si>
  <si>
    <t>25.0657</t>
  </si>
  <si>
    <t>55.1713</t>
  </si>
  <si>
    <t>https://orange0.sharepoint.com/sites/OBDCProximityServicesFieldOperationsRules/SitePages/Equinix-DataCenters-in-%C3%8Ele-de-France.aspx</t>
  </si>
  <si>
    <t>https://orange0.sharepoint.com/sites/OBDCProximityServicesFieldOperationsRules/SitePages/Equinix-DataCenters-in-Bordeaux.aspx</t>
  </si>
  <si>
    <t>https://orange0.sharepoint.com/sites/OBDCProximityServicesFieldOperationsRules/SitePages/Orange-France-DataCenters.aspx</t>
  </si>
  <si>
    <t>https://orange0.sharepoint.com/sites/OBDCProximityServicesFieldOperationsRules/SitePages/Digital-Realty-DataCenters-in-%C3%8Ele-de-France.aspx</t>
  </si>
  <si>
    <t>https://orange0.sharepoint.com/sites/OBDCProximityServicesFieldOperationsRules/SitePages/Digital-Realty-DataCenters-in-Marseille.aspx</t>
  </si>
  <si>
    <t>https://orange0.sharepoint.com/sites/OBDCFrance/SitePages/Datacenter-EOLAS-de-Grenoble.aspx</t>
  </si>
  <si>
    <t>https://orange0.sharepoint.com/sites/OBDCProximityServicesFieldOperationsRules/SitePages/Telehouse-DataCenters-in-%C3%8Ele-de-France.aspx</t>
  </si>
  <si>
    <t>https://orange0.sharepoint.com/sites/OBDCProximityServicesFieldOperationsRules/SitePages/Equinix-DataCenters-in-United-Kingdom.aspx</t>
  </si>
  <si>
    <t>https://orange0.sharepoint.com/sites/OBDCProximityServicesFieldOperationsRules/SitePages/BrightSolid-DataCenters-in-United-Kingdom.aspx</t>
  </si>
  <si>
    <t>https://orange0.sharepoint.com/sites/OBDCProximityServicesFieldOperationsRules/SitePages/Equinix-DataCenters-in-Germany.aspx</t>
  </si>
  <si>
    <t>https://orange0.sharepoint.com/sites/OBDCProximityServicesFieldOperationsRules/SitePages/Equinix-DataCenters-in-Netherlands.aspx</t>
  </si>
  <si>
    <t>https://orange0.sharepoint.com/sites/OBDCProximityServicesFieldOperationsRules/SitePages/OB-(Equant)-DataCenters-in-Netherlands.aspx</t>
  </si>
  <si>
    <t>https://orange0.sharepoint.com/sites/OBDCProximityServicesFieldOperationsRules/SitePages/OB-DataCenters-in-Poland.aspx</t>
  </si>
  <si>
    <t>https://orange0.sharepoint.com/sites/OBDCProximityServicesFieldOperationsRules/SitePages/Digital-Realty-DataCenters-in-Spain.aspx</t>
  </si>
  <si>
    <t>https://orange0.sharepoint.com/sites/OBDCProximityServicesFieldOperationsRules/SitePages/IXcellerate-DataCenters-in-Russia.aspx</t>
  </si>
  <si>
    <t>https://orange0.sharepoint.com/sites/OBDCProximityServicesFieldOperationsRules/SitePages/OB-(Basefarm)-DataCenters-in-Norway.aspx</t>
  </si>
  <si>
    <t>https://orange0.sharepoint.com/sites/OBDCProximityServicesFieldOperationsRules/SitePages/OB-(Equant)-DataCenters-in-Switzerland.aspx</t>
  </si>
  <si>
    <t>https://orange0.sharepoint.com/sites/OBDCProximityServicesFieldOperationsRules/SitePages/OB-(Equant)-DataCenters-in-Morocco.aspx</t>
  </si>
  <si>
    <t>https://orange0.sharepoint.com/sites/OBDCProximityServicesFieldOperationsRules/SitePages/OB-(Sonatel)-DataCenters-in-Senegal.aspx</t>
  </si>
  <si>
    <t>https://orange0.sharepoint.com/sites/OBDCProximityServicesFieldOperationsRules/SitePages/Equinix-DataCenters-in-UAE.aspx</t>
  </si>
  <si>
    <t>https://orange0.sharepoint.com/sites/OBDCProximityServicesFieldOperationsRules/SitePages/OB-DataCenters-in-Ivory-Coast.aspx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</si>
</sst>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0" x14ac:knownFonts="1">
    <font>
      <sz val="11"/>
      <color theme="1"/>
      <name val="Calibri"/>
      <family val="2"/>
      <scheme val="minor"/>
    </font>
    <font>
      <b/>
      <sz val="11"/>
      <color theme="1"/>
      <name val="Calibri"/>
      <family val="2"/>
      <scheme val="minor"/>
    </font>
    <font>
      <i/>
      <sz val="11"/>
      <color theme="5" tint="-0.499984740745262"/>
      <name val="Calibri"/>
      <family val="2"/>
      <scheme val="minor"/>
    </font>
    <font>
      <b/>
      <sz val="11"/>
      <name val="Calibri"/>
      <family val="2"/>
      <scheme val="minor"/>
    </font>
    <font>
      <b/>
      <i/>
      <sz val="11"/>
      <color theme="5" tint="-0.499984740745262"/>
      <name val="Calibri"/>
      <family val="2"/>
      <scheme val="minor"/>
    </font>
    <font>
      <sz val="11"/>
      <name val="Calibri"/>
      <family val="2"/>
      <scheme val="minor"/>
    </font>
    <font>
      <i/>
      <sz val="11"/>
      <color theme="1"/>
      <name val="Calibri"/>
      <family val="2"/>
      <scheme val="minor"/>
    </font>
    <font>
      <sz val="9"/>
      <color rgb="FF000000"/>
      <name val="Arial"/>
      <family val="2"/>
      <charset val="1"/>
    </font>
    <font>
      <u/>
      <sz val="11"/>
      <color theme="10"/>
      <name val="Calibri"/>
      <family val="2"/>
      <scheme val="minor"/>
    </font>
    <font>
      <sz val="11"/>
      <color rgb="FF242424"/>
      <name val="Aptos Narrow"/>
      <family val="2"/>
    </font>
  </fonts>
  <fills count="6">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5" tint="0.39997558519241921"/>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3">
    <xf numFmtId="0" fontId="0" fillId="0" borderId="0"/>
    <xf numFmtId="0" fontId="8" fillId="0" borderId="0" applyNumberFormat="0" applyFill="0" applyBorder="0" applyAlignment="0" applyProtection="0"/>
    <xf numFmtId="0" fontId="8" fillId="0" borderId="0" applyNumberFormat="0" applyFill="0" applyBorder="0" applyAlignment="0" applyProtection="0"/>
  </cellStyleXfs>
  <cellXfs count="26">
    <xf numFmtId="0" fontId="0" fillId="0" borderId="0" xfId="0"/>
    <xf numFmtId="0" fontId="1" fillId="0" borderId="0" xfId="0" applyFont="1" applyAlignment="1">
      <alignment horizontal="center" vertical="center"/>
    </xf>
    <xf numFmtId="0" fontId="2" fillId="0" borderId="0" xfId="0" applyFont="1"/>
    <xf numFmtId="0" fontId="0" fillId="2" borderId="0" xfId="0" applyFill="1"/>
    <xf numFmtId="0" fontId="0" fillId="0" borderId="0" xfId="0" applyAlignment="1">
      <alignment wrapText="1"/>
    </xf>
    <xf numFmtId="9" fontId="0" fillId="0" borderId="0" xfId="0" applyNumberFormat="1"/>
    <xf numFmtId="0" fontId="3" fillId="3" borderId="0" xfId="0" applyFont="1" applyFill="1"/>
    <xf numFmtId="0" fontId="3" fillId="0" borderId="0" xfId="0" applyFont="1"/>
    <xf numFmtId="0" fontId="1" fillId="0" borderId="0" xfId="0" applyFont="1"/>
    <xf numFmtId="0" fontId="4" fillId="0" borderId="0" xfId="0" applyFont="1"/>
    <xf numFmtId="0" fontId="5" fillId="0" borderId="0" xfId="0" applyFont="1"/>
    <xf numFmtId="0" fontId="0" fillId="0" borderId="0" xfId="0" applyAlignment="1">
      <alignment horizontal="center" vertical="center"/>
    </xf>
    <xf numFmtId="0" fontId="6" fillId="0" borderId="0" xfId="0" applyFont="1"/>
    <xf numFmtId="0" fontId="0" fillId="0" borderId="0" xfId="0" pivotButton="1"/>
    <xf numFmtId="0" fontId="0" fillId="0" borderId="0" xfId="0" pivotButton="1" applyAlignment="1">
      <alignment horizontal="center"/>
    </xf>
    <xf numFmtId="0" fontId="0" fillId="0" borderId="0" xfId="0" applyAlignment="1">
      <alignment horizontal="center"/>
    </xf>
    <xf numFmtId="0" fontId="7" fillId="0" borderId="0" xfId="0" applyFont="1"/>
    <xf numFmtId="0" fontId="1" fillId="0" borderId="0" xfId="0" applyFont="1" applyAlignment="1">
      <alignment horizontal="left" vertical="center"/>
    </xf>
    <xf numFmtId="0" fontId="9" fillId="0" borderId="0" xfId="0" applyFont="1"/>
    <xf numFmtId="0" fontId="0" fillId="0" borderId="0" xfId="0" applyAlignment="1">
      <alignment horizontal="left"/>
    </xf>
    <xf numFmtId="164" fontId="0" fillId="0" borderId="0" xfId="0" applyNumberFormat="1"/>
    <xf numFmtId="0" fontId="8" fillId="0" borderId="0" xfId="1"/>
    <xf numFmtId="0" fontId="1" fillId="4" borderId="0" xfId="0" applyFont="1" applyFill="1"/>
    <xf numFmtId="0" fontId="0" fillId="0" borderId="1" xfId="0" applyBorder="1"/>
    <xf numFmtId="0" fontId="0" fillId="5" borderId="1" xfId="0" applyFill="1" applyBorder="1"/>
    <xf numFmtId="0" fontId="8" fillId="0" borderId="0" xfId="2"/>
  </cellXfs>
  <cellStyles count="3">
    <cellStyle name="Hyperlink" xfId="1" xr:uid="{00000000-000B-0000-0000-000008000000}"/>
    <cellStyle name="Lien hypertexte" xfId="2" builtinId="8"/>
    <cellStyle name="Normal" xfId="0" builtinId="0"/>
  </cellStyles>
  <dxfs count="20">
    <dxf>
      <fill>
        <patternFill>
          <bgColor rgb="FF00B050"/>
        </patternFill>
      </fill>
    </dxf>
    <dxf>
      <fill>
        <patternFill>
          <bgColor theme="8"/>
        </patternFill>
      </fill>
    </dxf>
    <dxf>
      <fill>
        <patternFill>
          <bgColor rgb="FFC745C7"/>
        </patternFill>
      </fill>
    </dxf>
    <dxf>
      <fill>
        <patternFill>
          <bgColor theme="0" tint="-0.24994659260841701"/>
        </patternFill>
      </fill>
    </dxf>
    <dxf>
      <fill>
        <patternFill>
          <bgColor rgb="FFFF0000"/>
        </patternFill>
      </fill>
    </dxf>
    <dxf>
      <font>
        <color rgb="FF9C0006"/>
      </font>
      <fill>
        <patternFill>
          <bgColor rgb="FFFFC7CE"/>
        </patternFill>
      </fill>
    </dxf>
    <dxf>
      <fill>
        <patternFill>
          <bgColor rgb="FF00B050"/>
        </patternFill>
      </fill>
    </dxf>
    <dxf>
      <fill>
        <patternFill>
          <bgColor theme="8"/>
        </patternFill>
      </fill>
    </dxf>
    <dxf>
      <fill>
        <patternFill>
          <bgColor rgb="FFC745C7"/>
        </patternFill>
      </fill>
    </dxf>
    <dxf>
      <fill>
        <patternFill>
          <bgColor theme="0" tint="-0.24994659260841701"/>
        </patternFill>
      </fill>
    </dxf>
    <dxf>
      <fill>
        <patternFill>
          <bgColor rgb="FFFF0000"/>
        </patternFill>
      </fill>
    </dxf>
    <dxf>
      <font>
        <color rgb="FF9C0006"/>
      </font>
      <fill>
        <patternFill>
          <bgColor rgb="FFFFC7CE"/>
        </patternFill>
      </fill>
    </dxf>
    <dxf>
      <numFmt numFmtId="13" formatCode="0%"/>
    </dxf>
    <dxf>
      <numFmt numFmtId="0" formatCode="General"/>
    </dxf>
    <dxf>
      <font>
        <b/>
      </font>
      <alignment horizontal="center" vertical="center" textRotation="0" wrapText="0" indent="0" justifyLastLine="0" shrinkToFit="0" readingOrder="0"/>
    </dxf>
    <dxf>
      <alignment horizontal="center"/>
    </dxf>
    <dxf>
      <alignment horizontal="center"/>
    </dxf>
    <dxf>
      <alignment horizontal="center"/>
    </dxf>
    <dxf>
      <alignment horizontal="center"/>
    </dxf>
    <dxf>
      <numFmt numFmtId="0" formatCode="General"/>
      <alignment horizontal="center" vertical="center" textRotation="0" wrapText="0" indent="0" justifyLastLine="0" shrinkToFit="0" readingOrder="0"/>
    </dxf>
  </dxfs>
  <tableStyles count="0" defaultTableStyle="TableStyleMedium2" defaultPivotStyle="PivotStyleLight16"/>
  <colors>
    <mruColors>
      <color rgb="FFC745C7"/>
      <color rgb="FFDD2F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HIRI Samy AE DOF" refreshedDate="45371.595443981481" createdVersion="8" refreshedVersion="8" minRefreshableVersion="3" recordCount="170" xr:uid="{A02C3BB2-EBFC-4DD4-98CA-5B876226E1D3}">
  <cacheSource type="worksheet">
    <worksheetSource name="Tableau1"/>
  </cacheSource>
  <cacheFields count="20">
    <cacheField name="ID Unique" numFmtId="0">
      <sharedItems/>
    </cacheField>
    <cacheField name="List" numFmtId="0">
      <sharedItems/>
    </cacheField>
    <cacheField name="Zone" numFmtId="0">
      <sharedItems count="3">
        <s v="AME"/>
        <s v="APAC"/>
        <s v="EMEA"/>
      </sharedItems>
    </cacheField>
    <cacheField name="Region" numFmtId="0">
      <sharedItems/>
    </cacheField>
    <cacheField name="Country" numFmtId="0">
      <sharedItems count="31">
        <s v="Argentina"/>
        <s v="Australia"/>
        <s v="Belgium"/>
        <s v="Brazil"/>
        <s v="Chile"/>
        <s v="China"/>
        <s v="Costa Rica"/>
        <s v="France"/>
        <s v="Germany"/>
        <s v="India"/>
        <s v="Italy"/>
        <s v="Netherlands"/>
        <s v="Japan"/>
        <s v="Korea"/>
        <s v="Maroc"/>
        <s v="Mexico"/>
        <s v="United States"/>
        <s v="Norway"/>
        <s v="Romania"/>
        <s v="Singapore"/>
        <s v="South Africa"/>
        <s v="Spain"/>
        <s v="Sweden"/>
        <s v="Switzerland"/>
        <s v="Turkey"/>
        <s v="UAE"/>
        <s v="United Kingdom"/>
        <s v="Russia"/>
        <s v="Poland"/>
        <s v="Senegal"/>
        <s v="Ivory Coast"/>
      </sharedItems>
    </cacheField>
    <cacheField name="Cluster City" numFmtId="0">
      <sharedItems/>
    </cacheField>
    <cacheField name="City Area" numFmtId="0">
      <sharedItems/>
    </cacheField>
    <cacheField name="Supplier" numFmtId="0">
      <sharedItems/>
    </cacheField>
    <cacheField name="Site Code Orange" numFmtId="0">
      <sharedItems/>
    </cacheField>
    <cacheField name="Address" numFmtId="0">
      <sharedItems/>
    </cacheField>
    <cacheField name="Datacenter name (supplier code)" numFmtId="0">
      <sharedItems/>
    </cacheField>
    <cacheField name="Type of DC" numFmtId="0">
      <sharedItems containsBlank="1" count="6">
        <s v="3 - Opportunistic not to promote"/>
        <s v="5 - Closed"/>
        <s v="2 - Opportunistic"/>
        <s v="1 - Major"/>
        <m/>
        <s v="4 - Frozen"/>
      </sharedItems>
    </cacheField>
    <cacheField name="Affichage DCMAP (O/N)" numFmtId="0">
      <sharedItems/>
    </cacheField>
    <cacheField name="DC Manager" numFmtId="0">
      <sharedItems/>
    </cacheField>
    <cacheField name="Latitude" numFmtId="0">
      <sharedItems/>
    </cacheField>
    <cacheField name="Longitude" numFmtId="0">
      <sharedItems/>
    </cacheField>
    <cacheField name="Plazza Proximity" numFmtId="0">
      <sharedItems/>
    </cacheField>
    <cacheField name="Proximity service provider 1" numFmtId="0">
      <sharedItems containsNonDate="0" containsString="0" containsBlank="1"/>
    </cacheField>
    <cacheField name="Proximity service provider 2" numFmtId="0">
      <sharedItems containsNonDate="0" containsString="0" containsBlank="1"/>
    </cacheField>
    <cacheField name="Proximity service provider 3"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s v="CIBUBUE1ARE1"/>
    <s v="ARNO"/>
    <x v="0"/>
    <s v="LAM"/>
    <x v="0"/>
    <s v="Buenos Aires"/>
    <s v="Buenos Aires"/>
    <s v="Cirion Argentina"/>
    <s v="BUEL01"/>
    <s v="Av. del Campo 1301, Buenos Aires, Argentine"/>
    <s v="BUE1"/>
    <x v="0"/>
    <s v="NON"/>
    <s v="Arnaud GIRAUD"/>
    <s v="-34.59002"/>
    <s v="-58.46698190000001"/>
    <s v="To be done"/>
    <m/>
    <m/>
    <m/>
  </r>
  <r>
    <s v="EQSYNORTAU01"/>
    <s v="OLD"/>
    <x v="1"/>
    <s v="APAC"/>
    <x v="1"/>
    <s v="Sydney"/>
    <s v="Sydney"/>
    <s v="Equant"/>
    <s v="SYDX01"/>
    <s v="Unit 8,  5 Talavera Road,  Macquarie Park, NSW, 2113_x000a_"/>
    <s v="North Ryde SYDX01"/>
    <x v="1"/>
    <s v="NON"/>
    <s v="John YIP"/>
    <s v="-33.7838685"/>
    <s v="151.1317254"/>
    <s v="To be done"/>
    <m/>
    <m/>
    <m/>
  </r>
  <r>
    <s v="EQBRBR1AUR1"/>
    <s v="NEW"/>
    <x v="1"/>
    <s v="APAC"/>
    <x v="1"/>
    <s v="Brisbane"/>
    <s v="Brisbane"/>
    <s v="Equinix"/>
    <s v="not found on GINI"/>
    <s v="Fortitude Valley, Brisbane, Australie , QLD 4006"/>
    <s v="BR1"/>
    <x v="2"/>
    <s v="OUI"/>
    <s v="John YIP"/>
    <s v="-27.457826"/>
    <s v="153.0356579"/>
    <s v="https://plazza.orange.com/docs/DOC-2345828"/>
    <m/>
    <m/>
    <m/>
  </r>
  <r>
    <s v="EQPOME1AUE1"/>
    <s v="NEW"/>
    <x v="1"/>
    <s v="APAC"/>
    <x v="1"/>
    <s v="Melbourne"/>
    <s v="Port Melbourne"/>
    <s v="Equinix"/>
    <s v="not found on GINI"/>
    <s v="Equinix ME1 Data Centre, 578 Lorimer Street, Port Melbourne,, AU, VIC 3207"/>
    <s v="ME1"/>
    <x v="2"/>
    <s v="OUI"/>
    <s v="John YIP"/>
    <s v="-37.8230112"/>
    <s v="144.9153835"/>
    <s v="https://plazza.orange.com/docs/DOC-2345828"/>
    <m/>
    <m/>
    <m/>
  </r>
  <r>
    <s v="VOBEVDC-AU02"/>
    <s v="NEW"/>
    <x v="1"/>
    <s v="APAC"/>
    <x v="1"/>
    <s v="Perth"/>
    <s v="Bently"/>
    <s v="Vocus"/>
    <s v="not found on GINI"/>
    <s v="Vocus VDC-PER02 Data Centre., 5 Watts Place, Bentley WA 6102, Australia."/>
    <s v="VDC-PER02"/>
    <x v="0"/>
    <s v="NON"/>
    <s v="John YIP"/>
    <s v="-31.9962499"/>
    <s v="115.8884299"/>
    <s v="To be done"/>
    <m/>
    <m/>
    <m/>
  </r>
  <r>
    <s v="EQALSY4AUY4"/>
    <s v="NEW"/>
    <x v="1"/>
    <s v="APAC"/>
    <x v="1"/>
    <s v="Sydney"/>
    <s v="Alexandria"/>
    <s v="Equinix"/>
    <s v="not found on GINI"/>
    <s v="Equinix SY4 Data Centre, 200 Bourke Road, Alexandria, Sydney, NSW 2015 AU"/>
    <s v="SY4"/>
    <x v="2"/>
    <s v="OUI"/>
    <s v="John YIP"/>
    <s v="-33.9182045"/>
    <s v="151.1893617"/>
    <s v="https://plazza.orange.com/docs/DOC-2345828"/>
    <m/>
    <m/>
    <m/>
  </r>
  <r>
    <s v="EQALSY6AUY6"/>
    <s v="NEW"/>
    <x v="1"/>
    <s v="APAC"/>
    <x v="1"/>
    <s v="Sydney"/>
    <s v="Alexandria"/>
    <s v="Equinix"/>
    <s v="not found on GINI"/>
    <s v="Equinix SY6 Data Centre, 8-14 Egerton St, Silverwater, Sydney, NSW 2128, Australia"/>
    <s v="SY6"/>
    <x v="2"/>
    <s v="OUI"/>
    <s v="John YIP"/>
    <s v="-33.83701300000001"/>
    <s v="151.053381"/>
    <s v="https://plazza.orange.com/docs/DOC-2345828"/>
    <m/>
    <m/>
    <m/>
  </r>
  <r>
    <s v="EQWOSY7AUY7"/>
    <s v="NEW"/>
    <x v="1"/>
    <s v="APAC"/>
    <x v="1"/>
    <s v="Sydney"/>
    <s v="Wollongong"/>
    <s v="Equinix"/>
    <s v="not found on GINI"/>
    <s v="Equinix SY7 Data Centre, Lot 102 Lathe Place, Unanderra, Wollongong, NSW 2526, Australia"/>
    <s v="SY7"/>
    <x v="2"/>
    <s v="OUI"/>
    <s v="John YIP"/>
    <s v="-34.4629821"/>
    <s v="150.8578338"/>
    <s v="https://plazza.orange.com/docs/DOC-2345828"/>
    <m/>
    <m/>
    <m/>
  </r>
  <r>
    <s v="EQALSY1AUY1"/>
    <s v="NEW"/>
    <x v="1"/>
    <s v="APAC"/>
    <x v="1"/>
    <s v="Sydney"/>
    <s v="Alexandria"/>
    <s v="Equinix"/>
    <s v="not found on GINI"/>
    <s v="Equinix SY1 Data Centre, 639 Gardeners Road, Unit B, Mascot, Sydney, NSW 2020, Australia"/>
    <s v="SY1"/>
    <x v="2"/>
    <s v="OUI"/>
    <s v="John YIP"/>
    <s v="-33.9213904"/>
    <s v="151.1882048"/>
    <s v="https://plazza.orange.com/docs/DOC-2345828"/>
    <m/>
    <m/>
    <m/>
  </r>
  <r>
    <s v="EQALSY2AUY2"/>
    <s v="NEW"/>
    <x v="1"/>
    <s v="APAC"/>
    <x v="1"/>
    <s v="Sydney"/>
    <s v="Alexandria"/>
    <s v="Equinix"/>
    <s v="SYDD02 / SYDF02"/>
    <s v="Equinix SY2 Data Centre, 639 Gardeners Road, Unit C, Mascot, Sydney, NSW 2020, Australia"/>
    <s v="SY2"/>
    <x v="3"/>
    <s v="OUI"/>
    <s v="John YIP"/>
    <s v="-33.9218878"/>
    <s v="151.1881905"/>
    <s v="https://plazza.orange.com/docs/DOC-2345828"/>
    <m/>
    <m/>
    <m/>
  </r>
  <r>
    <s v="EQALSY3AUY3"/>
    <s v="NEW"/>
    <x v="1"/>
    <s v="APAC"/>
    <x v="1"/>
    <s v="Sydney"/>
    <s v="Alexandria"/>
    <s v="Equinix"/>
    <s v="not found on GINI"/>
    <s v="Equinix SY3 Data Centre, 47 Bourke Road,  Alexandria, Sydney, NSW 2015, Australia"/>
    <s v="SY3"/>
    <x v="2"/>
    <s v="OUI"/>
    <s v="John YIP"/>
    <s v="-33.9117762"/>
    <s v="151.1929422"/>
    <s v="https://plazza.orange.com/docs/DOC-2345828"/>
    <m/>
    <m/>
    <m/>
  </r>
  <r>
    <s v="MOBRSTUABEDC"/>
    <s v="OLD"/>
    <x v="2"/>
    <s v="EMEA"/>
    <x v="2"/>
    <s v="Brussel"/>
    <s v="Brussel"/>
    <s v="Mobistar"/>
    <s v="BRUT03"/>
    <s v="Mobistar Datacenter Nossegem_x000a_Leuvensesteenweg 641,1930 Zaventem, Belgium_x000a_"/>
    <s v="Stuart DC"/>
    <x v="0"/>
    <s v="NON"/>
    <s v="Mohamed SAMIR"/>
    <s v="50.87765899999999"/>
    <s v="4.5035326"/>
    <s v="To be done"/>
    <m/>
    <m/>
    <m/>
  </r>
  <r>
    <s v="EQSASP4BRP4"/>
    <s v="ARNO"/>
    <x v="0"/>
    <s v="LAM"/>
    <x v="3"/>
    <s v="Sao Paulo"/>
    <s v="Sao Paulo"/>
    <s v="Equinix"/>
    <s v="SAOI01"/>
    <s v="Av. Ceci, 1900 - Res. Tambore, Barueri - SP, 06460-120, Brésil"/>
    <s v="SP4"/>
    <x v="2"/>
    <s v="OUI"/>
    <s v="Arnaud GIRAUD"/>
    <s v="-23.4933594"/>
    <s v="-46.8094334"/>
    <s v="https://plazza.orange.com/docs/DOC-520558"/>
    <m/>
    <m/>
    <m/>
  </r>
  <r>
    <s v="CISASAO1BRO1"/>
    <s v="ARNO"/>
    <x v="0"/>
    <s v="LAM"/>
    <x v="3"/>
    <s v="Sao Paulo"/>
    <s v="Sao Paulo"/>
    <s v="Cirion Brazil"/>
    <s v="SAOL01"/>
    <s v="Av. Eid Mansur, 666 - Parque São Jorge, Cotia - SP, 06708-070, Brésil"/>
    <s v="SAO1"/>
    <x v="0"/>
    <s v="NON"/>
    <s v="Arnaud GIRAUD"/>
    <s v="-23.5979329"/>
    <s v="-46.848808"/>
    <s v="To be done"/>
    <m/>
    <m/>
    <m/>
  </r>
  <r>
    <s v="EMRIEMBRBRIO"/>
    <s v="ARNO"/>
    <x v="0"/>
    <s v="LAM"/>
    <x v="3"/>
    <s v="Rio de Janeiro"/>
    <s v="Rio de Janeiro"/>
    <s v="Embratel"/>
    <s v="RIOL02"/>
    <s v="119 Rua Senador Pompeu, Rio de Janeiro, 20221-291, Brazil"/>
    <s v="Embratel - Rio"/>
    <x v="0"/>
    <s v="NON"/>
    <s v="Arnaud GIRAUD"/>
    <s v="-22.9006419"/>
    <s v="-43.188142"/>
    <s v="To be done"/>
    <m/>
    <m/>
    <m/>
  </r>
  <r>
    <s v="EQRIRJ1BRJ1"/>
    <s v="OLD"/>
    <x v="0"/>
    <s v="LAM"/>
    <x v="3"/>
    <s v="Rio de Janeiro"/>
    <s v="Rio de Janeiro"/>
    <s v="Equinix"/>
    <s v="not found on GINI"/>
    <s v="Rua Voluntários da Pátria 360 - Botafogo 22270-010 Rio de Janeiro"/>
    <s v="RJ1"/>
    <x v="2"/>
    <s v="OUI"/>
    <s v="Arnaud GIRAUD"/>
    <s v="-22.9547717"/>
    <s v="-43.1945909"/>
    <s v="https://plazza.orange.com/docs/DOC-520558"/>
    <m/>
    <m/>
    <m/>
  </r>
  <r>
    <s v="SYSASYDEBRLO"/>
    <s v="OLD"/>
    <x v="0"/>
    <s v="LAM"/>
    <x v="3"/>
    <s v="Sao Paulo"/>
    <s v="Sao Paulo"/>
    <s v="Sydel"/>
    <s v="not found on GINI"/>
    <s v="Av. Adolfo Pinheiro, 1.000, Cj 51/53 • Alto da Boa Vista • CEP 04734-002 • São Paulo - SP"/>
    <s v="Sydel Sao paulo"/>
    <x v="1"/>
    <s v="NON"/>
    <s v="Arnaud GIRAUD"/>
    <s v="-23.6522787"/>
    <s v="-46.705799"/>
    <s v="To be done"/>
    <m/>
    <m/>
    <m/>
  </r>
  <r>
    <s v="EQSASP2BRP2"/>
    <s v="NEW"/>
    <x v="0"/>
    <s v="LAM"/>
    <x v="3"/>
    <s v="Sao Paulo"/>
    <s v="Sao Paulo"/>
    <s v="Equinix"/>
    <s v="SAOD04"/>
    <s v="Al. Araguaia 3641 - Tamboré Barueri - SP  CEP: 06455-000"/>
    <s v="SP2"/>
    <x v="2"/>
    <s v="OUI"/>
    <s v="Arnaud GIRAUD"/>
    <s v="-23.5031326"/>
    <s v="-46.8272798"/>
    <s v="https://plazza.orange.com/docs/DOC-520558"/>
    <m/>
    <m/>
    <m/>
  </r>
  <r>
    <s v="TESATELEBRLO"/>
    <s v="OLD"/>
    <x v="0"/>
    <s v="LAM"/>
    <x v="3"/>
    <s v="Sao Paulo"/>
    <s v="Sao Paulo"/>
    <s v="Telefonica"/>
    <s v="SAOD01 / SAOD02"/>
    <s v="The Tamboré II Data Center / Alameda Araguacema, 187 - Barueri - SP / CEP 0646  / SP SÃO PAULO / BRAZIL"/>
    <s v="Telefonica Sao Paulo"/>
    <x v="0"/>
    <s v="NON"/>
    <s v="Arnaud GIRAUD"/>
    <s v="-23.5019755"/>
    <s v="-46.8251239"/>
    <s v="To be done"/>
    <m/>
    <m/>
    <m/>
  </r>
  <r>
    <s v="EQSASP3BRP3"/>
    <s v="OLD"/>
    <x v="0"/>
    <s v="LAM"/>
    <x v="3"/>
    <s v="Sao Paulo"/>
    <s v="Sao Paulo"/>
    <s v="Equinix"/>
    <s v="GRU01"/>
    <s v="Avenida Marcos Penteado de Ulhoa Rodrigues, 249 Santana de Parnaiba/SP CEP: 06543-001 Brazil "/>
    <s v="SP3"/>
    <x v="2"/>
    <s v="OUI"/>
    <s v="Arnaud GIRAUD"/>
    <s v="-23.4663344"/>
    <s v="-46.86328839999999"/>
    <s v="https://plazza.orange.com/docs/DOC-520558"/>
    <m/>
    <m/>
    <m/>
  </r>
  <r>
    <s v="IISAIIA CHGO"/>
    <s v="ARNO"/>
    <x v="0"/>
    <s v="LAM"/>
    <x v="4"/>
    <s v="Santiago"/>
    <s v="Santiago"/>
    <s v="IIA"/>
    <s v="SCLC02"/>
    <s v="Porvenir 245, Santiago"/>
    <s v="IIA - Santiago"/>
    <x v="0"/>
    <s v="NON"/>
    <s v="Arnaud GIRAUD"/>
    <s v="-33.4549116"/>
    <s v="-70.632856"/>
    <s v="To be done"/>
    <m/>
    <m/>
    <m/>
  </r>
  <r>
    <s v="21BECH"/>
    <s v="NEW"/>
    <x v="1"/>
    <s v="APAC"/>
    <x v="5"/>
    <s v="Beijing"/>
    <s v="Beijing"/>
    <s v="21Vianet"/>
    <s v="not found on GINI"/>
    <s v="No. 596, Shenwei North Street, Yanjiao High-tech Zone, Sanhe City, Hebei Province, 河北省三河市燕郊高新区神威北大街596 号"/>
    <s v=""/>
    <x v="4"/>
    <s v="NON"/>
    <s v="Raymond CHEE"/>
    <s v="39.945997"/>
    <s v="116.809217"/>
    <s v="To be done"/>
    <m/>
    <m/>
    <m/>
  </r>
  <r>
    <s v="DRBEDR. CHNG"/>
    <s v="OLD"/>
    <x v="1"/>
    <s v="APAC"/>
    <x v="5"/>
    <s v="Beijing"/>
    <s v="Beijing"/>
    <s v="Dr. Peng"/>
    <s v="not found on GINI"/>
    <s v="No. 9 Jiuxianqiao North Road, Chaoyang District"/>
    <s v="Dr. Peng"/>
    <x v="2"/>
    <s v="OUI"/>
    <s v="Raymond CHEE"/>
    <s v="39.98794"/>
    <s v="116.5"/>
    <s v="https://plazza.orange.com/docs/DOC-2345841"/>
    <m/>
    <m/>
    <m/>
  </r>
  <r>
    <s v="21SHCH"/>
    <s v="NEW"/>
    <x v="1"/>
    <s v="APAC"/>
    <x v="5"/>
    <s v="Shanghai"/>
    <s v="Shanghai"/>
    <s v="21Vianet"/>
    <s v="not found on GINI"/>
    <s v="No. 99, Fute West 1st Road, Waigaoqiao Free Trade Zone, Pudong New Area, Shanghai_x000a_上海市浦东新区外高桥保税区富特西一路99 号"/>
    <s v=""/>
    <x v="4"/>
    <s v="NON"/>
    <s v="Raymond CHEE"/>
    <s v="31.34185"/>
    <s v="121.5909"/>
    <s v="To be done"/>
    <m/>
    <m/>
    <m/>
  </r>
  <r>
    <s v="NTTANTT CHPO"/>
    <s v="OLD"/>
    <x v="1"/>
    <s v="APAC"/>
    <x v="5"/>
    <s v="Hong Kong"/>
    <s v="Tai Po"/>
    <s v="NTT"/>
    <s v="HKGD02"/>
    <s v="2 Dai Hei Street,_x000a_Tai Po Industrial Park,         Tai Po, N.T.,_x000a_Hong Kong_x000a_"/>
    <s v="NTT Tai Po"/>
    <x v="1"/>
    <s v="NON"/>
    <s v="Raymond CHEE"/>
    <s v="22.453481"/>
    <s v="114.1871295"/>
    <s v="To be done"/>
    <m/>
    <m/>
    <m/>
  </r>
  <r>
    <s v="EQHOHK1CHK1"/>
    <s v="NEW"/>
    <x v="1"/>
    <s v="APAC"/>
    <x v="5"/>
    <s v="Hong Kong"/>
    <s v="Hong Kong"/>
    <s v="Equinix"/>
    <s v="not found on GINI"/>
    <s v="Equinix HK1 Data Centre, 17/F Global Gateway, 168 Yeung Uk Road, Tsuen Wan, N.T., Hong Kong"/>
    <s v="HK1"/>
    <x v="2"/>
    <s v="OUI"/>
    <s v="Raymond CHEE"/>
    <s v="22.365483"/>
    <s v="114.1193175"/>
    <s v="https://plazza.orange.com/docs/DOC-2345841"/>
    <m/>
    <m/>
    <m/>
  </r>
  <r>
    <s v="PCKWMCX1CH10"/>
    <s v="NEW"/>
    <x v="1"/>
    <s v="APAC"/>
    <x v="5"/>
    <s v="Hong Kong"/>
    <s v="Kwai Chung "/>
    <s v="PCCW Vantage"/>
    <s v="HKGH01"/>
    <s v="PCCW Vantage MCX10 Data Cente, Cargo Consolidation Complex, 43 Container Port Road, Kwai Chung, Hong Kong"/>
    <s v="MCX10"/>
    <x v="3"/>
    <s v="OUI"/>
    <s v="Raymond CHEE"/>
    <s v="22.3520422"/>
    <s v="114.1237137"/>
    <s v="https://plazza.orange.com/docs/DOC-2345841"/>
    <m/>
    <m/>
    <m/>
  </r>
  <r>
    <s v="EQTSHK3CHK3"/>
    <s v="NEW"/>
    <x v="1"/>
    <s v="APAC"/>
    <x v="5"/>
    <s v="Hong Kong"/>
    <s v="Tsuen Wan"/>
    <s v="Equinix"/>
    <s v="not found on GINI"/>
    <s v="Equinix HK3 Data Centre, 6/F, 1 Wang Wo Tsai Street, Tsuen Wan, N.T., Hong Kong"/>
    <s v="HK3"/>
    <x v="2"/>
    <s v="OUI"/>
    <s v="Raymond CHEE"/>
    <s v="22.3677909"/>
    <s v="114.1186098"/>
    <s v="https://plazza.orange.com/docs/DOC-2345841"/>
    <m/>
    <m/>
    <m/>
  </r>
  <r>
    <s v="EQTSHK2CHK2"/>
    <s v="NEW"/>
    <x v="1"/>
    <s v="APAC"/>
    <x v="5"/>
    <s v="Hong Kong"/>
    <s v="Tsuen Wan"/>
    <s v="Equinix"/>
    <s v="HKGD06"/>
    <s v="Equinix HK2 Data Centre, 17/F Kerry Warehouse, 3 Shing Yiu Street, Tsuen Wan, N.T.,Hong Kong"/>
    <s v="HK2"/>
    <x v="2"/>
    <s v="OUI"/>
    <s v="Raymond CHEE"/>
    <s v="22.3622845"/>
    <s v="114.1192183"/>
    <s v="https://plazza.orange.com/docs/DOC-2345841"/>
    <m/>
    <m/>
    <m/>
  </r>
  <r>
    <s v="ORWAHKGTCH01"/>
    <s v="NEW"/>
    <x v="1"/>
    <s v="APAC"/>
    <x v="5"/>
    <s v="Hong Kong"/>
    <s v="Wanchai"/>
    <s v="Orange"/>
    <s v="HKGF02"/>
    <s v="11/F, Telecom House, 3 Gloucester Road, Wanchai, Hong Kong"/>
    <s v="HKGT01"/>
    <x v="2"/>
    <s v="OUI"/>
    <s v="Raymond CHEE"/>
    <s v="22.2799065"/>
    <s v="114.170967"/>
    <s v="https://plazza.orange.com/docs/DOC-2345841"/>
    <m/>
    <m/>
    <m/>
  </r>
  <r>
    <s v="NTHONTT CHNG"/>
    <s v="OLD"/>
    <x v="1"/>
    <s v="APAC"/>
    <x v="5"/>
    <s v="Hong Kong"/>
    <s v="Hong Kong"/>
    <s v="NTT"/>
    <s v="HKGD01"/>
    <s v="15/F, Tower 2, Ever Gain Plaza, 88 Container Port Road, Kwai Chung, N.T., Hong Kong"/>
    <s v="NTT Kwai Chung"/>
    <x v="1"/>
    <s v="NON"/>
    <s v="Raymond CHEE"/>
    <s v="22.3529122"/>
    <s v="114.1245238"/>
    <s v="To be done"/>
    <m/>
    <m/>
    <m/>
  </r>
  <r>
    <s v="EQSHSH2CHH2"/>
    <s v="NEW"/>
    <x v="1"/>
    <s v="APAC"/>
    <x v="5"/>
    <s v="Shanghai"/>
    <s v="Shanghai"/>
    <s v="Equinix"/>
    <s v="not found on GINI"/>
    <s v="Equinix SH2, Building No. 4, 700 Jinyu Road, Pudong New Area, Shanghai 201206"/>
    <s v="SH2"/>
    <x v="2"/>
    <s v="OUI"/>
    <s v="Raymond CHEE"/>
    <s v="31.24734"/>
    <s v="121.62048"/>
    <s v="https://plazza.orange.com/docs/DOC-2345841"/>
    <m/>
    <m/>
    <m/>
  </r>
  <r>
    <s v="EQSHSH3CHH3"/>
    <s v="NEW"/>
    <x v="1"/>
    <s v="APAC"/>
    <x v="5"/>
    <s v="Shanghai"/>
    <s v="Shanghai"/>
    <s v="Equinix"/>
    <s v="SHAH01"/>
    <s v="Equinix SH3 Data Centre, Building No. 3, 700 Jinyu Road, Pudong New Area, Shanghai 201206"/>
    <s v="SH3"/>
    <x v="2"/>
    <s v="OUI"/>
    <s v="Raymond CHEE"/>
    <s v="31.24734"/>
    <s v="121.62048"/>
    <s v="https://plazza.orange.com/docs/DOC-2345841"/>
    <m/>
    <m/>
    <m/>
  </r>
  <r>
    <s v="EQSHSH5CHH5"/>
    <s v="NEW"/>
    <x v="1"/>
    <s v="APAC"/>
    <x v="5"/>
    <s v="Shanghai"/>
    <s v="Shanghai"/>
    <s v="Equinix"/>
    <s v="SHAH02"/>
    <s v="New Address: 976 Shunping Road, Shanghai , 上海市顺平路976号"/>
    <s v="SH5"/>
    <x v="2"/>
    <s v="OUI"/>
    <s v="Raymond CHEE"/>
    <s v="31.27941"/>
    <s v="121.54721"/>
    <s v="https://plazza.orange.com/docs/DOC-2345841"/>
    <m/>
    <m/>
    <m/>
  </r>
  <r>
    <s v="SHSHIDX CHH3"/>
    <s v="NEW"/>
    <x v="1"/>
    <s v="APAC"/>
    <x v="5"/>
    <s v="Shanghai"/>
    <s v="Shanghai"/>
    <s v="Shanghai Data Solution"/>
    <s v="not found on GINI"/>
    <s v="Shanghai Data Solution Co.,Ltd, 3F,No.23 Building 498 Guoshoujing Rd. Shanghai Pudong Software Park, Zhangjiang High Technology Park Pu Dong P.R.China, 上海市浦东郭守敬路498号23号楼3楼 吴鸿豪 13310105096"/>
    <s v="IDX SH3"/>
    <x v="2"/>
    <s v="OUI"/>
    <s v="Raymond CHEE"/>
    <s v="31.20183"/>
    <s v="121.587671"/>
    <s v="https://plazza.orange.com/docs/DOC-2345841"/>
    <m/>
    <m/>
    <m/>
  </r>
  <r>
    <s v="ADSAADN COSE"/>
    <s v="NEW"/>
    <x v="0"/>
    <s v="LAM"/>
    <x v="6"/>
    <s v="San Jose"/>
    <s v="San Jose"/>
    <s v="ADN Datacenter"/>
    <s v="SJOL01"/>
    <s v="ADN Datacenters, Zona Franca SARET Edificio B8  Alajuela Costa Rica"/>
    <s v="ADN by UFINET - San Jose"/>
    <x v="2"/>
    <s v="OUI"/>
    <s v="Arnaud GIRAUD"/>
    <s v="10.0004151"/>
    <s v="-84.1857912"/>
    <s v="To be done"/>
    <m/>
    <m/>
    <m/>
  </r>
  <r>
    <s v="EQNEEQUAFR01"/>
    <s v="OLD"/>
    <x v="2"/>
    <s v="EMEA"/>
    <x v="7"/>
    <s v="Paris"/>
    <s v="Neuilly"/>
    <s v="Equant"/>
    <s v="PART01"/>
    <s v="112 Avenue Charles de Gaulle, 92522 Neuilly/Seine"/>
    <s v="Equant PART01"/>
    <x v="1"/>
    <s v="NON"/>
    <s v="Samy TAHIRI"/>
    <s v="48.8826709"/>
    <s v="2.268323"/>
    <s v="To be done"/>
    <m/>
    <m/>
    <m/>
  </r>
  <r>
    <s v="ORNANANTFRIF"/>
    <s v="OLD"/>
    <x v="2"/>
    <s v="EMEA"/>
    <x v="7"/>
    <s v="Paris"/>
    <s v="Nanterre"/>
    <s v="Orange France"/>
    <s v="PARH02"/>
    <s v="24, boulevard Jules Mansard_x000a_92000 NANTERRE._x000a_"/>
    <s v="Nanterre - DIF"/>
    <x v="1"/>
    <s v="NON"/>
    <s v="Samy TAHIRI"/>
    <s v="48.8992225"/>
    <s v="2.2111"/>
    <s v="To be done"/>
    <m/>
    <m/>
    <m/>
  </r>
  <r>
    <s v="DIMAMRS3FRS3"/>
    <s v="NEW"/>
    <x v="2"/>
    <s v="EMEA"/>
    <x v="7"/>
    <s v="Marseille"/>
    <s v="Marseille"/>
    <s v="Digital Realty"/>
    <s v="not found on GINI"/>
    <s v="Enceinte Portuaire, Porte 4 13015, France"/>
    <s v="MRS3"/>
    <x v="2"/>
    <s v="OUI"/>
    <s v="Samy TAHIRI"/>
    <s v="43.3401329"/>
    <s v="5.347538999999999"/>
    <s v="https://plazza.orange.com/docs/DOC-2345229"/>
    <m/>
    <m/>
    <m/>
  </r>
  <r>
    <s v="DIMAMRS1FRS1"/>
    <s v="NEW"/>
    <x v="2"/>
    <s v="EMEA"/>
    <x v="7"/>
    <s v="Marseille"/>
    <s v="Marseille"/>
    <s v="Digital Realty"/>
    <s v="MRSF03"/>
    <s v="40 Avenue Roger Salengro 13003, France"/>
    <s v="MRS1"/>
    <x v="2"/>
    <s v="OUI"/>
    <s v="Samy TAHIRI"/>
    <s v="43.3103674"/>
    <s v="5.3733505"/>
    <s v="https://plazza.orange.com/docs/DOC-2345229"/>
    <m/>
    <m/>
    <m/>
  </r>
  <r>
    <s v="DILAPAR8FRR8"/>
    <s v="NEW"/>
    <x v="2"/>
    <s v="EMEA"/>
    <x v="7"/>
    <s v="Paris"/>
    <s v="La Courneuve"/>
    <s v="Digital Realty"/>
    <s v="not found on GINI"/>
    <s v="2 Avenue Marcel Cachin, 93120 La Courneuve, France"/>
    <s v="PAR8"/>
    <x v="3"/>
    <s v="OUI"/>
    <s v="Samy TAHIRI"/>
    <s v="48.92747319999999"/>
    <s v="2.3976544"/>
    <s v="https://plazza.orange.com/docs/DOC-2345229"/>
    <m/>
    <m/>
    <m/>
  </r>
  <r>
    <s v="DISAPAR5FRR5"/>
    <s v="NEW"/>
    <x v="2"/>
    <s v="EMEA"/>
    <x v="7"/>
    <s v="Paris"/>
    <s v="Saint-Denis"/>
    <s v="Digital Realty"/>
    <s v="not found on GINI"/>
    <s v="11‑13 Avenue des Arts et Metiers, Saint Denis 93200, France"/>
    <s v="PAR5"/>
    <x v="3"/>
    <s v="OUI"/>
    <s v="Samy TAHIRI"/>
    <s v="48.9142653"/>
    <s v="2.3621093"/>
    <s v="https://plazza.orange.com/docs/DOC-2345229"/>
    <m/>
    <m/>
    <m/>
  </r>
  <r>
    <s v="EOGRMANGFRN1"/>
    <s v="NEW"/>
    <x v="2"/>
    <s v="EMEA"/>
    <x v="7"/>
    <s v="Grenoble"/>
    <s v="Grenoble"/>
    <s v="EOLAS"/>
    <s v="not found on GINI"/>
    <s v="73 Rue Général Mangin, 38100 Grenoble"/>
    <s v="MANGIN1"/>
    <x v="3"/>
    <s v="OUI"/>
    <s v="Samy TAHIRI"/>
    <s v="45.1684496"/>
    <s v="5.715114"/>
    <s v="https://plazza.orange.com/docs/DOC-2345284"/>
    <m/>
    <m/>
    <m/>
  </r>
  <r>
    <s v="EQBOBX1FRX1"/>
    <s v="NEW"/>
    <x v="2"/>
    <s v="EMEA"/>
    <x v="7"/>
    <s v="Bordeaux"/>
    <s v="Bordeaux"/>
    <s v="Equinix"/>
    <s v="BODF03"/>
    <s v="39 Rue de Strasbourg, 33520 Bruges"/>
    <s v="BX1"/>
    <x v="2"/>
    <s v="OUI"/>
    <s v="Samy TAHIRI"/>
    <s v="44.8958199"/>
    <s v="-0.611387"/>
    <s v="https://plazza.orange.com/docs/DOC-2345230"/>
    <m/>
    <m/>
    <m/>
  </r>
  <r>
    <s v="EQCOPA1FRA1"/>
    <s v="NEW"/>
    <x v="2"/>
    <s v="EMEA"/>
    <x v="7"/>
    <s v="Paris"/>
    <s v="Courbevoie"/>
    <s v="Equinix"/>
    <s v="not found on GINI"/>
    <s v="167 Rue de la Belle Etoile, 95948 Roissy-en-France"/>
    <s v="PA1"/>
    <x v="2"/>
    <s v="OUI"/>
    <s v="Samy TAHIRI"/>
    <s v="48.9837033"/>
    <s v="2.5071675"/>
    <s v="https://plazza.orange.com/docs/DOC-2123449"/>
    <m/>
    <m/>
    <m/>
  </r>
  <r>
    <s v="EQSAPA2FRA2"/>
    <s v="NEW"/>
    <x v="2"/>
    <s v="EMEA"/>
    <x v="7"/>
    <s v="Paris"/>
    <s v="Saint Denis"/>
    <s v="Equinix"/>
    <s v="not found on GINI"/>
    <s v="114 rue Ambroise Croizat, 93200 Saint Denis"/>
    <s v="PA2"/>
    <x v="3"/>
    <s v="OUI"/>
    <s v="Samy TAHIRI"/>
    <s v="48.92816999999999"/>
    <s v="2.352084"/>
    <s v="https://plazza.orange.com/docs/DOC-2123449"/>
    <m/>
    <m/>
    <m/>
  </r>
  <r>
    <s v="EQSAPA3FRA3"/>
    <s v="NEW"/>
    <x v="2"/>
    <s v="EMEA"/>
    <x v="7"/>
    <s v="Paris"/>
    <s v="Saint Denis"/>
    <s v="Equinix"/>
    <s v="PARP29"/>
    <s v="114 rue Ambroise Croizat, 93200 Saint Denis"/>
    <s v="PA3"/>
    <x v="3"/>
    <s v="OUI"/>
    <s v="Samy TAHIRI"/>
    <s v="48.92816999999999"/>
    <s v="2.352084"/>
    <s v="https://plazza.orange.com/docs/DOC-2123449"/>
    <m/>
    <m/>
    <m/>
  </r>
  <r>
    <s v="EQPAPA4FRA4"/>
    <s v="NEW"/>
    <x v="2"/>
    <s v="EMEA"/>
    <x v="7"/>
    <s v="Paris"/>
    <s v="Pantin"/>
    <s v="Equinix"/>
    <s v="PARP30"/>
    <s v="110 Bis avenue du Général Leclerc, 93500, Pantin, Bâtiment 19, Pantin, FR, 93300"/>
    <s v="PA4"/>
    <x v="3"/>
    <s v="OUI"/>
    <s v="Samy TAHIRI"/>
    <s v="48.9013819"/>
    <s v="2.4176467"/>
    <s v="https://plazza.orange.com/docs/DOC-2123449"/>
    <m/>
    <m/>
    <m/>
  </r>
  <r>
    <s v="EQCOPA5FRA5"/>
    <s v="NEW"/>
    <x v="2"/>
    <s v="EMEA"/>
    <x v="7"/>
    <s v="Paris"/>
    <s v="Courbevoie"/>
    <s v="Equinix"/>
    <s v="PARF06"/>
    <s v="Immeuble 254, Parc Icade Les Portes de Paris, 45 Av. Victor Hugo, 93300 Aubervilliers"/>
    <s v="PA5"/>
    <x v="2"/>
    <s v="OUI"/>
    <s v="Samy TAHIRI"/>
    <s v="48.903717"/>
    <s v="2.3688383"/>
    <s v="https://plazza.orange.com/docs/DOC-2123449"/>
    <m/>
    <m/>
    <m/>
  </r>
  <r>
    <s v="EQCOPA6FRA6"/>
    <s v="NEW"/>
    <x v="2"/>
    <s v="EMEA"/>
    <x v="7"/>
    <s v="Paris"/>
    <s v="Courbevoie"/>
    <s v="Equinix"/>
    <s v="PARP31"/>
    <s v="10 rue Waldeck Rochet, Building 520, 93300 Aubervilliers"/>
    <s v="PA6"/>
    <x v="3"/>
    <s v="OUI"/>
    <s v="Samy TAHIRI"/>
    <s v="48.9104641"/>
    <s v="2.368007"/>
    <s v="https://plazza.orange.com/docs/DOC-2123449"/>
    <m/>
    <m/>
    <m/>
  </r>
  <r>
    <s v="EQCOPA7FRA7"/>
    <s v="NEW"/>
    <x v="2"/>
    <s v="EMEA"/>
    <x v="7"/>
    <s v="Paris"/>
    <s v="Courbevoie"/>
    <s v="Equinix"/>
    <s v="not found on GINI"/>
    <s v="130-136 Bd de Verdun, 92400 Courbevoie"/>
    <s v="PA7"/>
    <x v="2"/>
    <s v="OUI"/>
    <s v="Samy TAHIRI"/>
    <s v="48.9039991"/>
    <s v="2.2574815"/>
    <s v="https://plazza.orange.com/docs/DOC-2123449"/>
    <m/>
    <m/>
    <m/>
  </r>
  <r>
    <s v="ORAMCVLFRVL"/>
    <s v="NEW"/>
    <x v="2"/>
    <s v="EMEA"/>
    <x v="7"/>
    <s v="Chartres"/>
    <s v="Amilly"/>
    <s v="Orange France"/>
    <s v="QTJT01 / QTJT02"/>
    <s v="CCWG+MX3, 28300 Amilly"/>
    <s v="CVL"/>
    <x v="3"/>
    <s v="OUI"/>
    <s v="Samy TAHIRI"/>
    <s v="48.4466375"/>
    <s v="1.4274219"/>
    <s v="https://plazza.orange.com/docs/DOC-2239219"/>
    <m/>
    <m/>
    <m/>
  </r>
  <r>
    <s v="ORVAVDRFRDR"/>
    <s v="NEW"/>
    <x v="2"/>
    <s v="EMEA"/>
    <x v="7"/>
    <s v="Normandie"/>
    <s v="Val de Reuil"/>
    <s v="Orange France"/>
    <s v="UROP05 / UROP06"/>
    <s v="Data Center Normandie, 1 voie de l’orée (7 voie de l'Orée for equipment shipment), 27100 Val de Reuil."/>
    <s v="VDR"/>
    <x v="3"/>
    <s v="OUI"/>
    <s v="Samy TAHIRI"/>
    <s v="49.2641249"/>
    <s v="1.1888188"/>
    <s v="https://plazza.orange.com/docs/DOC-516576"/>
    <m/>
    <m/>
    <m/>
  </r>
  <r>
    <s v="ORCECESSFRON"/>
    <s v="NEW"/>
    <x v="2"/>
    <s v="EMEA"/>
    <x v="7"/>
    <s v="Rennes"/>
    <s v="Cesson Sevigne"/>
    <s v="Orange France"/>
    <s v="ZFJP01"/>
    <s v="Orange Business Services, 9 rue du chene Germain, Cesson Sevigne 35512"/>
    <s v="Cesson"/>
    <x v="5"/>
    <s v="NON"/>
    <s v="Samy TAHIRI"/>
    <s v="48.1301316"/>
    <s v="-1.62541"/>
    <s v="To be done"/>
    <m/>
    <m/>
    <m/>
  </r>
  <r>
    <s v="TEPATH1FRH1"/>
    <s v="NEW"/>
    <x v="2"/>
    <s v="EMEA"/>
    <x v="7"/>
    <s v="Paris"/>
    <s v="Paris"/>
    <s v="Telehouse"/>
    <s v="not found on GINI"/>
    <s v="38 Rue des Jeuneurs, 75002 Paris"/>
    <s v="TH1"/>
    <x v="5"/>
    <s v="NON"/>
    <s v="Samy TAHIRI"/>
    <s v="48.8699839"/>
    <s v="2.3443919"/>
    <s v="To be done"/>
    <m/>
    <m/>
    <m/>
  </r>
  <r>
    <s v="TEPATH3FRH3"/>
    <s v="NEW"/>
    <x v="2"/>
    <s v="EMEA"/>
    <x v="7"/>
    <s v="Paris"/>
    <s v="Paris"/>
    <s v="Telehouse"/>
    <s v="not found on GINI"/>
    <s v="1 Rue Pablo Picasso, 78114 Magny-les-Hameaux"/>
    <s v="TH3"/>
    <x v="2"/>
    <s v="OUI"/>
    <s v="Samy TAHIRI"/>
    <s v="48.7269272"/>
    <s v="2.0814726"/>
    <s v="https://plazza.orange.com/docs/DOC-2345228"/>
    <m/>
    <m/>
    <m/>
  </r>
  <r>
    <s v="TEPATH2FRH2"/>
    <s v="NEW"/>
    <x v="2"/>
    <s v="EMEA"/>
    <x v="7"/>
    <s v="Paris"/>
    <s v="Paris"/>
    <s v="Telehouse"/>
    <s v="PARF14"/>
    <s v="137 Bd Voltaire, 75011 Paris"/>
    <s v="TH2"/>
    <x v="2"/>
    <s v="OUI"/>
    <s v="Samy TAHIRI"/>
    <s v="48.85626060000001"/>
    <s v="2.3835199"/>
    <s v="https://plazza.orange.com/docs/DOC-2345228"/>
    <m/>
    <m/>
    <m/>
  </r>
  <r>
    <s v="ORCHCHEVFRIF"/>
    <s v="NEW"/>
    <x v="2"/>
    <s v="EMEA"/>
    <x v="7"/>
    <s v="Paris"/>
    <s v="Chevilly Larue"/>
    <s v="Orange France"/>
    <s v="PARH04"/>
    <s v="Orange Business Services - 72-74 av. De la Republique, 94550 Chevilly-Larue"/>
    <s v="Chevilly - DIF"/>
    <x v="3"/>
    <s v="OUI"/>
    <s v="Samy TAHIRI"/>
    <s v="48.7612028"/>
    <s v="2.365006"/>
    <s v="https://plazza.orange.com/docs/DOC-516573"/>
    <m/>
    <m/>
    <m/>
  </r>
  <r>
    <s v="ORRURUEIFRIF"/>
    <s v="NEW"/>
    <x v="2"/>
    <s v="EMEA"/>
    <x v="7"/>
    <s v="Paris"/>
    <s v="Rueil-Malmaison"/>
    <s v="Orange France"/>
    <s v="QEVH01"/>
    <s v="Orange Business Services - 90 rue Pierre Brossolette, 92500 Rueil Malmaison                                                           "/>
    <s v="Rueil - DIF"/>
    <x v="3"/>
    <s v="OUI"/>
    <s v="Samy TAHIRI"/>
    <s v="48.8837252"/>
    <s v="2.1864777"/>
    <s v="https://plazza.orange.com/docs/DOC-516575"/>
    <m/>
    <m/>
    <m/>
  </r>
  <r>
    <s v="EQFRESCHGERN"/>
    <s v="NEW"/>
    <x v="2"/>
    <s v="EMEA"/>
    <x v="8"/>
    <s v="Frankfurt"/>
    <s v="Frankfurt"/>
    <s v="Equant"/>
    <s v="not found on GINI"/>
    <s v="Rahmannstraße 11 65760 Eschborn, Germany"/>
    <s v="Eschborn"/>
    <x v="4"/>
    <s v="NON"/>
    <s v="Mohamed SAMIR"/>
    <s v="50.1319837"/>
    <s v="8.5694572"/>
    <s v="To be done"/>
    <m/>
    <m/>
    <m/>
  </r>
  <r>
    <s v="EQFRFR2GER2"/>
    <s v="NEW"/>
    <x v="2"/>
    <s v="EMEA"/>
    <x v="8"/>
    <s v="Frankfurt"/>
    <s v="Frankfurt"/>
    <s v="Equinix"/>
    <s v="FRAT11"/>
    <s v="Kruppstrasse 121-127, Frankfurt, Germany, 60388"/>
    <s v="FR2"/>
    <x v="2"/>
    <s v="OUI"/>
    <s v="Mohamed SAMIR"/>
    <s v="50.1418804"/>
    <s v="8.7417759"/>
    <s v="https://plazza.orange.com/docs/DOC-723005"/>
    <m/>
    <m/>
    <m/>
  </r>
  <r>
    <s v="EQFRFR4GER4"/>
    <s v="NEW"/>
    <x v="2"/>
    <s v="EMEA"/>
    <x v="8"/>
    <s v="Frankfurt"/>
    <s v="Frankfurt"/>
    <s v="Equinix"/>
    <s v="FRAT10"/>
    <s v="Larchenstrasse 110, Frankfurt, Germany, 65933"/>
    <s v="FR4"/>
    <x v="3"/>
    <s v="OUI"/>
    <s v="Mohamed SAMIR"/>
    <s v="50.0978335"/>
    <s v="8.5871439"/>
    <s v="https://plazza.orange.com/docs/DOC-723005"/>
    <m/>
    <m/>
    <m/>
  </r>
  <r>
    <s v="EQFRFR5GER5"/>
    <s v="NEW"/>
    <x v="2"/>
    <s v="EMEA"/>
    <x v="8"/>
    <s v="Frankfurt"/>
    <s v="Frankfurt"/>
    <s v="Equinix"/>
    <s v="FRAC23"/>
    <s v="Kleyerstraße 90 60326 Frankfurt am Main, Germany"/>
    <s v="FR5"/>
    <x v="2"/>
    <s v="OUI"/>
    <s v="Mohamed SAMIR"/>
    <s v="50.0988483"/>
    <s v="8.631954499999999"/>
    <s v="https://plazza.orange.com/docs/DOC-723005"/>
    <m/>
    <m/>
    <m/>
  </r>
  <r>
    <s v="EQFRFR6GER6"/>
    <s v="NEW"/>
    <x v="2"/>
    <s v="EMEA"/>
    <x v="8"/>
    <s v="Frankfurt"/>
    <s v="Frankfurt"/>
    <s v="Equinix"/>
    <s v="not found on GINI"/>
    <s v="Larchenstrasse 110, Frankfurt, Germany, 65933"/>
    <s v="FR6"/>
    <x v="2"/>
    <s v="OUI"/>
    <s v="Mohamed SAMIR"/>
    <s v="50.0978335"/>
    <s v="8.5871439"/>
    <s v="https://plazza.orange.com/docs/DOC-723005"/>
    <m/>
    <m/>
    <m/>
  </r>
  <r>
    <s v="EQFRFR7GER7"/>
    <s v="NEW"/>
    <x v="2"/>
    <s v="EMEA"/>
    <x v="8"/>
    <s v="Frankfurt"/>
    <s v="Frankfurt"/>
    <s v="Equinix"/>
    <s v="not found on GINI"/>
    <s v="Gutleutstraße 310, 60327 Frankfurt am Main, Germany"/>
    <s v="FR7"/>
    <x v="2"/>
    <s v="OUI"/>
    <s v="Mohamed SAMIR"/>
    <s v="50.0971357"/>
    <s v="8.6440413"/>
    <s v="https://plazza.orange.com/docs/DOC-723005"/>
    <m/>
    <m/>
    <m/>
  </r>
  <r>
    <s v="EQFRFRAXGE01"/>
    <s v="NEW"/>
    <x v="2"/>
    <s v="EMEA"/>
    <x v="8"/>
    <s v="Frankfurt"/>
    <s v="Frankfurt"/>
    <s v="Equant"/>
    <s v="FRAX01"/>
    <s v="Kleyerstraße 90 60326 Frankfurt am Main, Germany"/>
    <s v="FRAX01"/>
    <x v="0"/>
    <s v="NON"/>
    <s v="Mohamed SAMIR"/>
    <s v="50.0988483"/>
    <s v="8.631954499999999"/>
    <s v="To be done"/>
    <m/>
    <m/>
    <m/>
  </r>
  <r>
    <s v="EQMUMU3GEU3"/>
    <s v="OLD"/>
    <x v="2"/>
    <s v="EMEA"/>
    <x v="8"/>
    <s v="Munich"/>
    <s v="Munich"/>
    <s v="Equinix"/>
    <s v="MUCC11"/>
    <s v="Seidlstrasse 3, Munich DE 80335, Germany"/>
    <s v="MU3"/>
    <x v="2"/>
    <s v="OUI"/>
    <s v="Mohamed SAMIR"/>
    <s v="48.1425433"/>
    <s v="11.5560521"/>
    <s v="https://plazza.orange.com/docs/DOC-723005"/>
    <m/>
    <m/>
    <m/>
  </r>
  <r>
    <s v="NTBENTT GEIN"/>
    <s v="OLD"/>
    <x v="2"/>
    <s v="EMEA"/>
    <x v="8"/>
    <s v="Berlin"/>
    <s v="Berlin"/>
    <s v="NTT eshelter"/>
    <s v="not found on GINI"/>
    <s v="Nonnendammallee 15, 13599 Berlin, Allemagne"/>
    <s v="NTT eshelter Berlin"/>
    <x v="5"/>
    <s v="NON"/>
    <s v="Mohamed SAMIR"/>
    <s v="52.5381948"/>
    <s v="13.2379765"/>
    <s v="To be done"/>
    <m/>
    <m/>
    <m/>
  </r>
  <r>
    <s v="NTMUVIKHINC2"/>
    <s v="NEW"/>
    <x v="1"/>
    <s v="APAC"/>
    <x v="9"/>
    <s v="Mumbai"/>
    <s v="Mumbai"/>
    <s v="NTT Netmagic"/>
    <s v="BOMC11"/>
    <s v="NTT Netmagic Vikhroli DC2 Data Centre, Ground, First &amp; Second Floor, Mehra Industrial Estate, LBS Marg, Vikhroli (W) Mumbai, Maharashtra - 400079, INDIA"/>
    <s v="Vikhroli DC2"/>
    <x v="2"/>
    <s v="OUI"/>
    <s v="Raymond CHEE"/>
    <s v="19.1284505"/>
    <s v="72.9252451"/>
    <s v="https://plazza.orange.com/docs/DOC-857750"/>
    <m/>
    <m/>
    <m/>
  </r>
  <r>
    <s v="NTMUVIKHINC4"/>
    <s v="NEW"/>
    <x v="1"/>
    <s v="APAC"/>
    <x v="9"/>
    <s v="Mumbai"/>
    <s v="Mumbai"/>
    <s v="NTT Netmagic"/>
    <s v="not found on GINI"/>
    <s v="NTT Netmagic Vikhroli DC4 Data Centre, Ground &amp; Mezzanine Floor, Universal Knitting Mills Pvt. Limited Building, Mehra Estate, LBS marg, Vikhroli (W) Mumbai, Maharashtra - 400079, INDIA"/>
    <s v="Vikhroli DC4"/>
    <x v="2"/>
    <s v="OUI"/>
    <s v="Raymond CHEE"/>
    <s v="19.1284505"/>
    <s v="72.9252451"/>
    <s v="https://plazza.orange.com/docs/DOC-857750"/>
    <m/>
    <m/>
    <m/>
  </r>
  <r>
    <s v="STBASTT INCL"/>
    <s v="NEW"/>
    <x v="1"/>
    <s v="APAC"/>
    <x v="9"/>
    <s v="Bangalore"/>
    <s v="Bangalore"/>
    <s v="STT TCL"/>
    <s v="BLRT07"/>
    <s v="STT  - Bengaluru DC2 Data Centre, #18, 19 &amp; 20, EPIP Layout, KIADB, Whitefield, Bangalore, 560066, India"/>
    <s v="STT TCL"/>
    <x v="5"/>
    <s v="NON"/>
    <s v="Raymond CHEE"/>
    <s v="12.9812299"/>
    <s v="77.72564349999999"/>
    <s v="To be done"/>
    <m/>
    <m/>
    <m/>
  </r>
  <r>
    <s v="NTBABENGINC2"/>
    <s v="NEW"/>
    <x v="1"/>
    <s v="APAC"/>
    <x v="9"/>
    <s v="Bangalore"/>
    <s v="Bangalore"/>
    <s v="NTT Netmagic"/>
    <s v="not found on GINI"/>
    <s v="NTT Netmagic Bengaluru Electronic City DC2 Data Centre, 88/A, S V R Platinum, Adjacent to K S S I D Complex, Electronic City, Phase I Bangalore, Karnataka - 560100, INDIA"/>
    <s v="Bengaluru DC2"/>
    <x v="2"/>
    <s v="OUI"/>
    <s v="Raymond CHEE"/>
    <s v="12.8395548"/>
    <s v="77.6622838"/>
    <s v="https://plazza.orange.com/docs/DOC-857750"/>
    <m/>
    <m/>
    <m/>
  </r>
  <r>
    <s v="STDESTT INCL"/>
    <s v="NEW"/>
    <x v="1"/>
    <s v="APAC"/>
    <x v="9"/>
    <s v="Delhi"/>
    <s v="Delhi"/>
    <s v="STT TCL"/>
    <s v="DELT07"/>
    <s v="IDC Building, Opp. Savitri Cinema Flyover, Greater Kailash - 1,"/>
    <s v="STT TCL"/>
    <x v="5"/>
    <s v="NON"/>
    <s v="Raymond CHEE"/>
    <s v="28.5415141"/>
    <s v="77.240201"/>
    <s v="To be done"/>
    <m/>
    <m/>
    <m/>
  </r>
  <r>
    <s v="STMUSTT INCL"/>
    <s v="NEW"/>
    <x v="1"/>
    <s v="APAC"/>
    <x v="9"/>
    <s v="Mumbai"/>
    <s v="Mumbai"/>
    <s v="STT TCL"/>
    <s v="BOMT08"/>
    <s v="Plot C-21 &amp; C-36, G Block, Bandra Kulrla Complex, Vidyanagari Post office, Mumbai 400098, India"/>
    <s v="STT TCL"/>
    <x v="5"/>
    <s v="NON"/>
    <s v="Raymond CHEE"/>
    <s v="19.0636283"/>
    <s v="72.8617897"/>
    <s v="To be done"/>
    <m/>
    <m/>
    <m/>
  </r>
  <r>
    <s v="EQMIML2ITL2"/>
    <s v="NEW"/>
    <x v="2"/>
    <s v="EMEA"/>
    <x v="10"/>
    <s v="Milan"/>
    <s v="Milan"/>
    <s v="Equinix"/>
    <s v="not found on GINI"/>
    <s v="Via Savona, 125, Milan, mi, IT, 20144"/>
    <s v="ML2"/>
    <x v="2"/>
    <s v="OUI"/>
    <s v="Mohamed SAMIR"/>
    <s v="45.4486888"/>
    <s v="9.1474418"/>
    <s v="https://plazza.orange.com/docs/DOC-2346785"/>
    <m/>
    <m/>
    <m/>
  </r>
  <r>
    <s v="EQAMAMSXNE01"/>
    <s v="NEW"/>
    <x v="2"/>
    <s v="EMEA"/>
    <x v="11"/>
    <s v="Amsterdam"/>
    <s v="Amsterdam"/>
    <s v="Equant"/>
    <s v="AMSX01"/>
    <s v="Triphony Building, Cessnalaan 71 . Schiphol-Rijk"/>
    <s v="AMSX01"/>
    <x v="3"/>
    <s v="OUI"/>
    <s v="Mohamed SAMIR"/>
    <s v="52.2820263"/>
    <s v="4.7668214"/>
    <s v="https://plazza.orange.com/docs/DOC-722710"/>
    <m/>
    <m/>
    <m/>
  </r>
  <r>
    <s v="NTOSNTT JAKA"/>
    <s v="NEW"/>
    <x v="1"/>
    <s v="APAC"/>
    <x v="12"/>
    <s v="Osaka"/>
    <s v="Osaka"/>
    <s v="NTT"/>
    <s v="OSAT04"/>
    <s v="Dojima No.1 DC, 3-1-59 Dojima Kita-Ku, Osaka-shi, Osaka, Japan"/>
    <s v="NTT Osaka"/>
    <x v="2"/>
    <s v="OUI"/>
    <s v="Raymond CHEE"/>
    <s v="34.6968245"/>
    <s v="135.491489"/>
    <s v="https://plazza.orange.com/docs/DOC-2345843"/>
    <m/>
    <m/>
    <m/>
  </r>
  <r>
    <s v="EQOSOS1JAS1"/>
    <s v="NEW"/>
    <x v="1"/>
    <s v="APAC"/>
    <x v="12"/>
    <s v="Osaka"/>
    <s v="Osaka"/>
    <s v="Equinix"/>
    <s v="not found on GINI"/>
    <s v="Equinix OS1, 1-26-1, Shinmachi, Nishi-ku, Nishi Shinsaibashi Building, Osaka, 550 0013 Japan"/>
    <s v="OS1"/>
    <x v="2"/>
    <s v="OUI"/>
    <s v="Raymond CHEE"/>
    <s v="34.6757084"/>
    <s v="135.4955913"/>
    <s v="https://plazza.orange.com/docs/DOC-2345843"/>
    <m/>
    <m/>
    <m/>
  </r>
  <r>
    <s v="EQTOTY6JAY6"/>
    <s v="NEW"/>
    <x v="1"/>
    <s v="APAC"/>
    <x v="12"/>
    <s v="Tokyo"/>
    <s v="Tokyo"/>
    <s v="Equinix"/>
    <s v="not found on GINI"/>
    <s v="Equinix TY6, 2-2-43, Higashi-Shinagawa,, Shinagawa-ku, Tokyo, 140 0002 Japan"/>
    <s v="TY6"/>
    <x v="2"/>
    <s v="OUI"/>
    <s v="Raymond CHEE"/>
    <s v="35.6230297"/>
    <s v="139.748141"/>
    <s v="https://plazza.orange.com/docs/DOC-2345843"/>
    <m/>
    <m/>
    <m/>
  </r>
  <r>
    <s v="EQTOTY9JAY9"/>
    <s v="NEW"/>
    <x v="1"/>
    <s v="APAC"/>
    <x v="12"/>
    <s v="Tokyo"/>
    <s v="Tokyo"/>
    <s v="Equinix"/>
    <s v="not found on GINI"/>
    <s v="Equinix TY9 Data Centre, 1-12-3, Suidou, Bunkyo-ku, Tokyo, 112 0005 Japan"/>
    <s v="TY9"/>
    <x v="2"/>
    <s v="OUI"/>
    <s v="Raymond CHEE"/>
    <s v="35.70871"/>
    <s v="139.743887"/>
    <s v="https://plazza.orange.com/docs/DOC-2345843"/>
    <m/>
    <m/>
    <m/>
  </r>
  <r>
    <s v="EQTOTY8JAY8"/>
    <s v="NEW"/>
    <x v="1"/>
    <s v="APAC"/>
    <x v="12"/>
    <s v="Tokyo"/>
    <s v="Tokyo"/>
    <s v="Equinix"/>
    <s v="TYOC22"/>
    <s v="Equinix TY8 Data Centre, 2-1-7, Higashi-Shinagawa, Shinagawa-ku, Tokyo, 140 0002, Japan"/>
    <s v="TY8"/>
    <x v="2"/>
    <s v="OUI"/>
    <s v="Raymond CHEE"/>
    <s v="35.622121"/>
    <s v="139.7479207"/>
    <s v="https://plazza.orange.com/docs/DOC-2345843"/>
    <m/>
    <m/>
    <m/>
  </r>
  <r>
    <s v="NTTOTK5,JADC"/>
    <s v="NEW"/>
    <x v="1"/>
    <s v="APAC"/>
    <x v="12"/>
    <s v="Tokyo"/>
    <s v="Tokyo"/>
    <s v="NTT"/>
    <s v="TYOF06"/>
    <s v="NTT Tokyo No.5 DC, 3-15-2 Bunkyo-ku,Yushima,Tokyo 113-0034, Japan"/>
    <s v="TK5, Tokyo No.5 DC"/>
    <x v="2"/>
    <s v="OUI"/>
    <s v="Raymond CHEE"/>
    <s v="35.7050186"/>
    <s v="139.7690773"/>
    <s v="https://plazza.orange.com/docs/DOC-2345843"/>
    <m/>
    <m/>
    <m/>
  </r>
  <r>
    <s v="LGSESANGKOER"/>
    <s v="NEW"/>
    <x v="1"/>
    <s v="APAC"/>
    <x v="13"/>
    <s v="Seoul"/>
    <s v="Seoul"/>
    <s v="LG CNS"/>
    <s v="SELT02"/>
    <s v="LG CNS Sangam IT Center, 4th floor 424 World cup buk-ro Mapo-gu,"/>
    <s v="Sangam IT Center"/>
    <x v="0"/>
    <s v="NON"/>
    <s v="Raymond CHEE"/>
    <s v="37.5811412"/>
    <s v="126.8868857"/>
    <s v="To be done"/>
    <m/>
    <m/>
    <m/>
  </r>
  <r>
    <s v="ORRAORANMAEL"/>
    <s v="OLD"/>
    <x v="2"/>
    <s v="EMEA"/>
    <x v="14"/>
    <s v="Rabat"/>
    <s v="Rabat"/>
    <s v="Orange Meditel"/>
    <s v="RBAT02"/>
    <s v="sis Lotissement Vita Nr. 7 Route de Casa Km 3.5 Yacoub Elmansour, Rabat Maroc"/>
    <s v="Orange Meditel"/>
    <x v="0"/>
    <s v="NON"/>
    <s v="Mohamed SAMIR"/>
    <s v="33.98338330000001"/>
    <s v="-6.8873077"/>
    <s v="To be done"/>
    <m/>
    <m/>
    <m/>
  </r>
  <r>
    <s v="EQCACASAMA01"/>
    <s v="NEW"/>
    <x v="2"/>
    <s v="EMEA"/>
    <x v="14"/>
    <s v="Casablanca"/>
    <s v="Casablanca"/>
    <s v="Equant"/>
    <s v="CASA01"/>
    <s v="Mohammed 5 Airport, Nouacer Office 2099"/>
    <s v="CASA01"/>
    <x v="2"/>
    <s v="OUI"/>
    <s v="Mohamed SAMIR"/>
    <s v="33.3708103"/>
    <s v="-7.587847699999999"/>
    <s v="https://plazza.orange.com/docs/DOC-1122222"/>
    <m/>
    <m/>
    <m/>
  </r>
  <r>
    <s v="REMERED-MEIO"/>
    <s v="ARNO"/>
    <x v="0"/>
    <s v="LAM"/>
    <x v="15"/>
    <s v="Mexico"/>
    <s v="Mexico"/>
    <s v="red-IT KIO"/>
    <s v="not found on GINI"/>
    <s v="RED-IT  20 Boulevard Benito Juarez, corner Avenida Lopez Portillo, Neighborhood San Mateo Cuautepec, Tultitlan, State of México, 54948"/>
    <s v="red-IT KIO"/>
    <x v="0"/>
    <s v="NON"/>
    <s v="Arnaud GIRAUD"/>
    <s v="19.6281869"/>
    <s v="-99.1521738"/>
    <s v="To be done"/>
    <m/>
    <m/>
    <m/>
  </r>
  <r>
    <s v="CODADAL3UNL3"/>
    <s v="MARK"/>
    <x v="0"/>
    <s v="NAM"/>
    <x v="16"/>
    <s v="Texas"/>
    <s v="Dallas"/>
    <s v="Cologix"/>
    <s v="DALL02"/>
    <s v="1950 North Stemmons Freeway, Suites 1039A &amp; 2048, Dallas, Texas, United States of America, 75207"/>
    <s v="DAL3"/>
    <x v="2"/>
    <s v="OUI"/>
    <s v="Mark OLSZEWSKI"/>
    <s v="32.800748"/>
    <s v="-96.819412"/>
    <s v="To be done"/>
    <m/>
    <m/>
    <m/>
  </r>
  <r>
    <s v="EQAMAM1NEM1"/>
    <s v="NEW"/>
    <x v="2"/>
    <s v="EMEA"/>
    <x v="11"/>
    <s v="Amsterdam"/>
    <s v="Amsterdam"/>
    <s v="Equinix"/>
    <s v="AMSC18"/>
    <s v="EC, Luttenbergweg 4, 1101 EC Amsterdam, Pays-Bas"/>
    <s v="AM1"/>
    <x v="2"/>
    <s v="OUI"/>
    <s v="Mohamed SAMIR"/>
    <s v="52.2999285"/>
    <s v="4.9431207"/>
    <s v="https://plazza.orange.com/docs/DOC-722710"/>
    <m/>
    <m/>
    <m/>
  </r>
  <r>
    <s v="EQAMAM2NEM2"/>
    <s v="NEW"/>
    <x v="2"/>
    <s v="EMEA"/>
    <x v="11"/>
    <s v="Amsterdam"/>
    <s v="Amsterdam"/>
    <s v="Equinix"/>
    <s v="not found on GINI"/>
    <s v="EC, Luttenbergweg 4, 1101 EC Amsterdam, Pays-Bas"/>
    <s v="AM2"/>
    <x v="2"/>
    <s v="OUI"/>
    <s v="Mohamed SAMIR"/>
    <s v="52.2999285"/>
    <s v="4.9431207"/>
    <s v="https://plazza.orange.com/docs/DOC-722710"/>
    <m/>
    <m/>
    <m/>
  </r>
  <r>
    <s v="EQAMAM5NEM5"/>
    <s v="NEW"/>
    <x v="2"/>
    <s v="EMEA"/>
    <x v="11"/>
    <s v="Amsterdam"/>
    <s v="Amsterdam"/>
    <s v="Equinix"/>
    <s v="AMSC17"/>
    <s v="Schepenbergweg 42, 1105 AT Amsterdam, Pays-Bas"/>
    <s v="AM5"/>
    <x v="2"/>
    <s v="OUI"/>
    <s v="Mohamed SAMIR"/>
    <s v="52.2933512"/>
    <s v="4.9450536"/>
    <s v="https://plazza.orange.com/docs/DOC-722710"/>
    <m/>
    <m/>
    <m/>
  </r>
  <r>
    <s v="EQAMAM3NEM3"/>
    <s v="NEW"/>
    <x v="2"/>
    <s v="EMEA"/>
    <x v="11"/>
    <s v="Amsterdam"/>
    <s v="Amsterdam"/>
    <s v="Equinix"/>
    <s v="AMST02"/>
    <s v="Science Park 610, 1098 XH Amsterdam, Pays-Bas"/>
    <s v="AM3"/>
    <x v="2"/>
    <s v="OUI"/>
    <s v="Mohamed SAMIR"/>
    <s v="52.3549245"/>
    <s v="4.960960099999999"/>
    <s v="https://plazza.orange.com/docs/DOC-722710"/>
    <m/>
    <m/>
    <m/>
  </r>
  <r>
    <s v="EQAMAM4NEM4"/>
    <s v="NEW"/>
    <x v="2"/>
    <s v="EMEA"/>
    <x v="11"/>
    <s v="Amsterdam"/>
    <s v="Amsterdam"/>
    <s v="Equinix"/>
    <s v="not found on GINI"/>
    <s v="Science Park 610, 1098 XH Amsterdam, Pays-Bas"/>
    <s v="AM4"/>
    <x v="2"/>
    <s v="OUI"/>
    <s v="Mohamed SAMIR"/>
    <s v="52.3549245"/>
    <s v="4.960960099999999"/>
    <s v="https://plazza.orange.com/docs/DOC-722710"/>
    <m/>
    <m/>
    <m/>
  </r>
  <r>
    <s v="EQAMAM6NEM6"/>
    <s v="NEW"/>
    <x v="2"/>
    <s v="EMEA"/>
    <x v="11"/>
    <s v="Amsterdam"/>
    <s v="Amsterdam"/>
    <s v="Equinix"/>
    <s v="not found on GINI"/>
    <s v="Duivendrechtsekade 80A, 1096 AH Amsterdam, Pays-Bas"/>
    <s v="AM6"/>
    <x v="3"/>
    <s v="OUI"/>
    <s v="Mohamed SAMIR"/>
    <s v="52.3371666"/>
    <s v="4.9330682"/>
    <s v="https://plazza.orange.com/docs/DOC-722710"/>
    <m/>
    <m/>
    <m/>
  </r>
  <r>
    <s v="INAMAMS2NES2"/>
    <s v="OLD"/>
    <x v="2"/>
    <s v="EMEA"/>
    <x v="11"/>
    <s v="Amsterdam"/>
    <s v="Amsterdam"/>
    <s v="Interxion"/>
    <s v="not found on GINI"/>
    <s v="Digital Realty, Gyroscoopweg 58-60, 1042 Amsterdam, The Netherlands"/>
    <s v="AMS2"/>
    <x v="0"/>
    <s v="NON"/>
    <s v="Mohamed SAMIR"/>
    <s v="52.39983700000001"/>
    <s v="4.8423269"/>
    <s v="To be done"/>
    <m/>
    <m/>
    <m/>
  </r>
  <r>
    <s v="INAMAMS5NES5"/>
    <s v="MICH"/>
    <x v="2"/>
    <s v="EMEA"/>
    <x v="11"/>
    <s v="Amsterdam"/>
    <s v="Amsterdam"/>
    <s v="Interxion"/>
    <s v="not found on GINI"/>
    <s v="Digital Realty, Luttenbergweg 4, 1101 EC Amsterdam, Netherlands"/>
    <s v="AMS5"/>
    <x v="5"/>
    <s v="NON"/>
    <s v="Michael Storrøsten "/>
    <s v="52.2999285"/>
    <s v="4.9431207"/>
    <s v="To be done"/>
    <m/>
    <m/>
    <m/>
  </r>
  <r>
    <s v="NTAMAMS1NES1"/>
    <s v="OLD"/>
    <x v="2"/>
    <s v="EMEA"/>
    <x v="11"/>
    <s v="Amsterdam"/>
    <s v="Amsterdam"/>
    <s v="NTT"/>
    <s v="not found on GINI"/>
    <s v="NTT AMS1 e-shelter Amsterdam 1 Data Center, Aviolanda 1, 1437 ED Rozenburg, Pays-Bas"/>
    <s v="AMS1"/>
    <x v="1"/>
    <s v="NON"/>
    <s v="Mohamed SAMIR"/>
    <s v="52.2838625"/>
    <s v="4.7449956"/>
    <s v="To be done"/>
    <m/>
    <m/>
    <m/>
  </r>
  <r>
    <s v="COLOLA2UNA2"/>
    <s v="MARK"/>
    <x v="0"/>
    <s v="NAM"/>
    <x v="16"/>
    <s v="California"/>
    <s v="Los Angeles"/>
    <s v="CoreSite"/>
    <s v="LAXL02"/>
    <s v="900 North Alameda Street, 90012, Los Angeles"/>
    <s v="LA2"/>
    <x v="2"/>
    <s v="OUI"/>
    <s v="Mark OLSZEWSKI"/>
    <s v="34.0581105"/>
    <s v="-118.2353984"/>
    <s v="https://plazza.orange.com/docs/DOC-1766490"/>
    <m/>
    <m/>
    <m/>
  </r>
  <r>
    <s v="OROSOSLONO01"/>
    <s v="MICH"/>
    <x v="2"/>
    <s v="EMEA"/>
    <x v="17"/>
    <s v="Oslo"/>
    <s v="Oslo"/>
    <s v="Orange Digital Services Europe"/>
    <s v="OSL4"/>
    <s v="Selma Ellefsens vei 1, 0581 Oslo, Norway"/>
    <s v="oslo01"/>
    <x v="0"/>
    <s v="NON"/>
    <s v="Michael Storrøsten "/>
    <s v="59.92504599999999"/>
    <s v="10.8089642"/>
    <s v="To be done"/>
    <m/>
    <m/>
    <m/>
  </r>
  <r>
    <s v="COSENY2 UNTE"/>
    <s v="MARK"/>
    <x v="0"/>
    <s v="NAM"/>
    <x v="16"/>
    <s v="New Jersey"/>
    <s v="Secaucus"/>
    <s v="CoreSite"/>
    <s v="EWRL02"/>
    <s v="2 Emerson Lane, 7094, Secaucus"/>
    <s v="NY2 - CoreSite"/>
    <x v="2"/>
    <s v="OUI"/>
    <s v="Mark OLSZEWSKI"/>
    <s v="40.7833916"/>
    <s v="-74.06468799999999"/>
    <s v="https://plazza.orange.com/docs/DOC-1766490"/>
    <m/>
    <m/>
    <m/>
  </r>
  <r>
    <s v="DICHCHI1UNI1"/>
    <s v="MARK"/>
    <x v="0"/>
    <s v="NAM"/>
    <x v="16"/>
    <s v="Illinois"/>
    <s v="Chicago"/>
    <s v="Digital Realty"/>
    <s v="CHIL03"/>
    <s v="350 E Cermak Rd, 5th Floor, Chicago, Illinois, United States of America, 60616"/>
    <s v="CHI1"/>
    <x v="2"/>
    <s v="OUI"/>
    <s v="Mark OLSZEWSKI"/>
    <s v="41.8531135"/>
    <s v="-87.6183281"/>
    <s v="https://plazza.orange.com/docs/DOC-1766515"/>
    <m/>
    <m/>
    <m/>
  </r>
  <r>
    <s v="ORBUBUCAROIA"/>
    <s v="OLD"/>
    <x v="2"/>
    <s v="EMEA"/>
    <x v="18"/>
    <s v="Bucarest"/>
    <s v="Bucarest"/>
    <s v="Orange Romania"/>
    <s v="to be determined with GINI"/>
    <s v="Orange Romania SA, Strada Barbu Văcărescu nr. 201A, etaj 1, București 020276"/>
    <s v="Bucarest - Orange Romania"/>
    <x v="0"/>
    <s v="NON"/>
    <s v="Mohamed SAMIR"/>
    <s v="44.4795248"/>
    <s v="26.1022658"/>
    <s v="To be done"/>
    <m/>
    <m/>
    <m/>
  </r>
  <r>
    <s v="EQATAT1UNT1"/>
    <s v="MARK"/>
    <x v="0"/>
    <s v="NAM"/>
    <x v="16"/>
    <s v="Georgia"/>
    <s v="Atlanta"/>
    <s v="Equinix"/>
    <s v="ATLL03"/>
    <s v="180 Peachtree Street NW, 2nd, 3rd and 6th Floors, Atlanta, Georgia, United States of America, 30303"/>
    <s v="AT1"/>
    <x v="3"/>
    <s v="OUI"/>
    <s v="Mark OLSZEWSKI"/>
    <s v="33.7585633"/>
    <s v="-84.3877746"/>
    <s v="https://plazza.orange.com/docs/DOC-759493"/>
    <m/>
    <m/>
    <m/>
  </r>
  <r>
    <s v="EQATAT2UNT2"/>
    <s v="OLD"/>
    <x v="0"/>
    <s v="NAM"/>
    <x v="16"/>
    <s v="Atlanta"/>
    <s v="Atlanta"/>
    <s v="Equinix"/>
    <s v="ATLL01"/>
    <s v="56 Marietta Street NW_x000a_Atlanta, GA 30303"/>
    <s v="AT2"/>
    <x v="2"/>
    <s v="OUI"/>
    <s v="Mark OLSZEWSKI"/>
    <s v="33.7554648"/>
    <s v="-84.3914602"/>
    <s v="https://plazza.orange.com/docs/DOC-759493"/>
    <m/>
    <m/>
    <m/>
  </r>
  <r>
    <s v="EQPISG2SIG2"/>
    <s v="NEW"/>
    <x v="1"/>
    <s v="APAC"/>
    <x v="19"/>
    <s v="Singapore"/>
    <s v="Pioneer Walk"/>
    <s v="Equinix"/>
    <s v="SIND02"/>
    <s v="Equinix SG2 Datat Centre, 15 Pioneer Walk, Singapore 627753"/>
    <s v="SG2"/>
    <x v="3"/>
    <s v="OUI"/>
    <s v="Raymond CHEE"/>
    <s v="1.3213551"/>
    <s v="103.6959206"/>
    <s v="https://plazza.orange.com/docs/DOC-1076994"/>
    <m/>
    <m/>
    <m/>
  </r>
  <r>
    <s v="EQAYSG3SIG3"/>
    <s v="NEW"/>
    <x v="1"/>
    <s v="APAC"/>
    <x v="19"/>
    <s v="Singapore"/>
    <s v="Ayer Rajah Crescent"/>
    <s v="Equinix"/>
    <s v="SIND03"/>
    <s v="Equinix SG3 Data Centre, 26A Ayer Rajah Crescent, 139963, Singapore"/>
    <s v="SG3"/>
    <x v="3"/>
    <s v="OUI"/>
    <s v="Raymond CHEE"/>
    <s v="1.2959615"/>
    <s v="103.7908077"/>
    <s v="https://plazza.orange.com/docs/DOC-1076994"/>
    <m/>
    <m/>
    <m/>
  </r>
  <r>
    <s v="KDCHKDDISISG"/>
    <s v="NEW"/>
    <x v="1"/>
    <s v="APAC"/>
    <x v="19"/>
    <s v="Singapore"/>
    <s v="Chai Chee"/>
    <s v="KDDI Telehouse"/>
    <s v="SINH02"/>
    <s v="KDDI Singapore Pte. Ltd., Block 750D, Chai Chee Road, #05-04/05 ESR BizPark @ Chai Chee_x000a_Singapore 469004"/>
    <s v="KDDI SG"/>
    <x v="3"/>
    <s v="OUI"/>
    <s v="Raymond CHEE"/>
    <s v="1.322665"/>
    <s v="103.9208339"/>
    <s v="https://plazza.orange.com/docs/DOC-516902"/>
    <m/>
    <m/>
    <m/>
  </r>
  <r>
    <s v="NTSENTT SISG"/>
    <s v="NEW"/>
    <x v="1"/>
    <s v="APAC"/>
    <x v="19"/>
    <s v="Singapore"/>
    <s v="Serangoon"/>
    <s v="NTT"/>
    <s v="SIND01"/>
    <s v="NTT Serangoon Data Centre, 51 Serangoon North Avenue 4, Singapore 555858"/>
    <s v="NTT SG"/>
    <x v="3"/>
    <s v="OUI"/>
    <s v="Raymond CHEE"/>
    <s v="1.376124"/>
    <s v="103.875093"/>
    <s v="https://plazza.orange.com/docs/DOC-864043"/>
    <m/>
    <m/>
    <m/>
  </r>
  <r>
    <s v="EQCHSINXSI01"/>
    <s v="NEW"/>
    <x v="1"/>
    <s v="APAC"/>
    <x v="19"/>
    <s v="Singapore"/>
    <s v="Chai Chee"/>
    <s v="Equant"/>
    <s v="SINX01"/>
    <s v="Orange Business Services Singapore Pte Ltd, Block 750, Chai Chee Road, #04-01 ESR BizPark @ Chai Chee, Singapore 469000"/>
    <s v="SINX01"/>
    <x v="0"/>
    <s v="NON"/>
    <s v="Raymond CHEE"/>
    <s v="1.3230393"/>
    <s v="103.9218443"/>
    <s v="To be done"/>
    <m/>
    <m/>
    <m/>
  </r>
  <r>
    <s v="EQAYSG1SIG1"/>
    <s v="NEW"/>
    <x v="1"/>
    <s v="APAC"/>
    <x v="19"/>
    <s v="Singapore"/>
    <s v="Ayer Rajah Crescent"/>
    <s v="Equinix"/>
    <s v="SINF11"/>
    <s v="Equinix SG1 Data Centre, 20 Ayer Rajah Crescent, 139963, Singapore"/>
    <s v="SG1"/>
    <x v="2"/>
    <s v="OUI"/>
    <s v="Raymond CHEE"/>
    <s v="1.2953133"/>
    <s v="103.7898559"/>
    <s v="https://plazza.orange.com/docs/DOC-1076994"/>
    <m/>
    <m/>
    <m/>
  </r>
  <r>
    <s v="EQJOEQUASORG"/>
    <s v="NEW"/>
    <x v="2"/>
    <s v="EMEA"/>
    <x v="20"/>
    <s v="Johannesbourg"/>
    <s v="Johannesbourg"/>
    <s v="Equant"/>
    <s v="JNBT01 "/>
    <s v="Johannesburg DataCenter Ground Floor, SITA Equant Building, 18 Eglin Rd, Sunninghill, Sandton, 2157"/>
    <s v="Equant Johannesbourg"/>
    <x v="5"/>
    <s v="NON"/>
    <s v="Mohamed SAMIR"/>
    <s v="-26.0344136"/>
    <s v="28.067591"/>
    <s v="To be done"/>
    <m/>
    <m/>
    <m/>
  </r>
  <r>
    <s v="TEJOJB1SOB1"/>
    <s v="NEW"/>
    <x v="2"/>
    <s v="EMEA"/>
    <x v="20"/>
    <s v="Johannesbourg"/>
    <s v="Johannesbourg"/>
    <s v="Teraco"/>
    <s v="to be determined with GINI"/>
    <s v="5 Brewery St, Kempton Park, 1600 South Africa"/>
    <s v="JB1"/>
    <x v="2"/>
    <s v="OUI"/>
    <s v="Mohamed SAMIR"/>
    <s v="-26.1379444"/>
    <s v="28.1975458"/>
    <s v="https://plazza.orange.com/docs/DOC-2341024"/>
    <m/>
    <m/>
    <m/>
  </r>
  <r>
    <s v="INMAMAD1SPD1"/>
    <s v="NEW"/>
    <x v="2"/>
    <s v="EMEA"/>
    <x v="21"/>
    <s v="Madrid"/>
    <s v="Madrid"/>
    <s v="Interxion"/>
    <s v="to be determined with GINI"/>
    <s v="Calle Albasanz 71, Madrid, 28037, Spain"/>
    <s v="MAD1"/>
    <x v="2"/>
    <s v="OUI"/>
    <s v="Mohamed SAMIR"/>
    <s v="40.4395526"/>
    <s v="-3.6213845"/>
    <s v="https://plazza.orange.com/docs/DOC-2346834"/>
    <m/>
    <m/>
    <m/>
  </r>
  <r>
    <s v="ORSTSTH2SWH2"/>
    <s v="MICH"/>
    <x v="2"/>
    <s v="EMEA"/>
    <x v="22"/>
    <s v="Stockholm"/>
    <s v="Stockholm"/>
    <s v="Orange Digital Services Europe"/>
    <s v="STH2"/>
    <s v="Hemvärnsgatan 9, 17154 Solna, Sweden"/>
    <s v="STH2"/>
    <x v="0"/>
    <s v="NON"/>
    <s v="Michael Storrøsten "/>
    <s v="59.35490960000001"/>
    <s v="17.9769712"/>
    <s v="To be done"/>
    <m/>
    <m/>
    <m/>
  </r>
  <r>
    <s v="STSTSTO0SW1 "/>
    <s v="MICH"/>
    <x v="2"/>
    <s v="EMEA"/>
    <x v="22"/>
    <s v="Stockholm"/>
    <s v="Stockholm"/>
    <s v="Stack Infrastructure"/>
    <s v="STH6"/>
    <s v="Smedbyvägen 6, 19430 Upplands Väsby, Sweden"/>
    <s v="STO01 "/>
    <x v="0"/>
    <s v="NON"/>
    <s v="Michael Storrøsten "/>
    <s v="59.509861"/>
    <s v="17.8973689"/>
    <s v="To be done"/>
    <m/>
    <m/>
    <m/>
  </r>
  <r>
    <s v="DISTSTO1SWO1"/>
    <s v="MICH"/>
    <x v="2"/>
    <s v="EMEA"/>
    <x v="22"/>
    <s v="Stockholm"/>
    <s v="Stockholm"/>
    <s v="Digital Realty"/>
    <s v="STH7"/>
    <s v="Esbogatan 11, 16474 Kista, Sweden"/>
    <s v="STO1"/>
    <x v="0"/>
    <s v="NON"/>
    <s v="Michael Storrøsten "/>
    <s v="59.4223074"/>
    <s v="17.9185246"/>
    <s v="To be done"/>
    <m/>
    <m/>
    <m/>
  </r>
  <r>
    <s v="EQGEGENESW01"/>
    <s v="OLD"/>
    <x v="2"/>
    <s v="EMEA"/>
    <x v="23"/>
    <s v="Geneva"/>
    <s v="Geneva"/>
    <s v="Equant"/>
    <s v="GVAX01"/>
    <s v="Equant, route des Jeunes 13bis, 1227 Carouge"/>
    <s v="Geneva PoP GVAX01"/>
    <x v="0"/>
    <s v="NON"/>
    <s v="Mohamed SAMIR"/>
    <s v="46.1863095"/>
    <s v="6.1281363"/>
    <s v="To be done"/>
    <m/>
    <m/>
    <m/>
  </r>
  <r>
    <s v="SAGEGENESWST"/>
    <s v="OLD"/>
    <x v="2"/>
    <s v="EMEA"/>
    <x v="23"/>
    <s v="Geneva"/>
    <s v="Geneva"/>
    <s v="Safehost"/>
    <s v="GVA09"/>
    <s v="SafeHost - Chemin du Pre-Fleuri - 1228 Plan-les-Ouates. Geneva"/>
    <s v="Geneva - Safehost"/>
    <x v="1"/>
    <s v="NON"/>
    <s v="Mohamed SAMIR"/>
    <s v="46.1665546"/>
    <s v="6.107797"/>
    <s v="To be done"/>
    <m/>
    <m/>
    <m/>
  </r>
  <r>
    <s v="EQZUZURISW02"/>
    <s v="NEW"/>
    <x v="2"/>
    <s v="EMEA"/>
    <x v="23"/>
    <s v="Zurich"/>
    <s v="Zurich"/>
    <s v="Equant"/>
    <s v="ZRHX02"/>
    <s v="Albulastrasse 55, CH-8048 ZURICH"/>
    <s v="Zurich - PoP ZRHX02"/>
    <x v="2"/>
    <s v="OUI"/>
    <s v="Mohamed SAMIR"/>
    <s v="47.3884538"/>
    <s v="8.492482299999999"/>
    <s v="https://plazza.orange.com/docs/DOC-517443"/>
    <m/>
    <m/>
    <m/>
  </r>
  <r>
    <s v="EQGEGV2SWV2"/>
    <s v="NEW"/>
    <x v="2"/>
    <s v="EMEA"/>
    <x v="23"/>
    <s v="Geneva"/>
    <s v="Geneva"/>
    <s v="Equinix"/>
    <s v="GVAT02"/>
    <s v="Route du Bois-des-Freres 48, Le Lignon, Switzerland, 1219"/>
    <s v="GV2"/>
    <x v="0"/>
    <s v="NON"/>
    <s v="Mohamed SAMIR"/>
    <s v="46.2079503"/>
    <s v="6.098114"/>
    <s v="To be done"/>
    <m/>
    <m/>
    <m/>
  </r>
  <r>
    <s v="EQGEGV1SWV1"/>
    <s v="NEW"/>
    <x v="2"/>
    <s v="EMEA"/>
    <x v="23"/>
    <s v="Geneva"/>
    <s v="Geneva"/>
    <s v="Equinix"/>
    <s v="to be determined with GINI"/>
    <s v="Rue de la Confederation 6, Geneva, CH, Switzerland, 1204"/>
    <s v="GV1"/>
    <x v="0"/>
    <s v="NON"/>
    <s v="Mohamed SAMIR"/>
    <s v="46.20360660000001"/>
    <s v="6.144250899999999"/>
    <s v="To be done"/>
    <m/>
    <m/>
    <m/>
  </r>
  <r>
    <s v="EQZUZH2SWH2"/>
    <s v="NEW"/>
    <x v="2"/>
    <s v="EMEA"/>
    <x v="23"/>
    <s v="Zurich"/>
    <s v="Zurich"/>
    <s v="Equinix"/>
    <s v="to be determined with GINI"/>
    <s v="Josefstrasse 225, Zurich, Switzerland, 8005"/>
    <s v="ZH2"/>
    <x v="0"/>
    <s v="NON"/>
    <s v="Mohamed SAMIR"/>
    <s v="47.3877404"/>
    <s v="8.5201949"/>
    <s v="To be done"/>
    <m/>
    <m/>
    <m/>
  </r>
  <r>
    <s v="EQZUZH4SWH4"/>
    <s v="NEW"/>
    <x v="2"/>
    <s v="EMEA"/>
    <x v="23"/>
    <s v="Zurich"/>
    <s v="Zurich"/>
    <s v="Equinix"/>
    <s v="to be determined with GINI"/>
    <s v="Josefstrasse 225, Zurich, Switzerland, 8005"/>
    <s v="ZH4"/>
    <x v="0"/>
    <s v="NON"/>
    <s v="Mohamed SAMIR"/>
    <s v="47.3877404"/>
    <s v="8.5201949"/>
    <s v="To be done"/>
    <m/>
    <m/>
    <m/>
  </r>
  <r>
    <s v="EQZUZH5SWH5"/>
    <s v="NEW"/>
    <x v="2"/>
    <s v="EMEA"/>
    <x v="23"/>
    <s v="Zurich"/>
    <s v="Zurich"/>
    <s v="Equinix"/>
    <s v="to be determined with GINI"/>
    <s v="Allmendstrasse 9, Oberengstringen, Switzerland, 8102"/>
    <s v="ZH5"/>
    <x v="0"/>
    <s v="NON"/>
    <s v="Mohamed SAMIR"/>
    <s v="47.4058494"/>
    <s v="8.460674299999999"/>
    <s v="To be done"/>
    <m/>
    <m/>
    <m/>
  </r>
  <r>
    <s v="NGISSTARTUDC"/>
    <s v="NEW"/>
    <x v="2"/>
    <s v="EMEA"/>
    <x v="24"/>
    <s v="Istanbul"/>
    <s v="Istanbul"/>
    <s v="NGN"/>
    <s v="to be determined with GINI"/>
    <s v="34959 Tuzla Istanbul, Turkey"/>
    <s v="Star of Bosphorus DC"/>
    <x v="0"/>
    <s v="NON"/>
    <s v="Mohamed SAMIR"/>
    <s v="40.9406222"/>
    <s v="29.4237365"/>
    <s v="To be done"/>
    <m/>
    <m/>
    <m/>
  </r>
  <r>
    <s v="RAISRADOTURE"/>
    <s v="NEW"/>
    <x v="2"/>
    <s v="EMEA"/>
    <x v="24"/>
    <s v="Istanbul"/>
    <s v="Istanbul"/>
    <s v="Radore"/>
    <s v="to be determined with GINI"/>
    <s v="Büyükdere Cad. No:171 Metrocity AVM Kat: -4B No: 39-46S, Levent Cd., 34330 Şişli/İstanbul, Türkiye"/>
    <s v="Radore"/>
    <x v="0"/>
    <s v="NON"/>
    <s v="Mohamed SAMIR"/>
    <s v="41.0759119"/>
    <s v="29.0119856"/>
    <s v="To be done"/>
    <m/>
    <m/>
    <m/>
  </r>
  <r>
    <s v="EQDUDX1UAX1"/>
    <s v="NEW"/>
    <x v="2"/>
    <s v="EMEA"/>
    <x v="25"/>
    <s v="Dubai"/>
    <s v="Dubai"/>
    <s v="Equinix"/>
    <s v="to be determined with GINI"/>
    <s v="International Media Production Zone (IMPZ), Units F90, F91 &amp; F92, Sheikh Mohamed Bin Zayed Road, Dubai, AE, 500389"/>
    <s v="DX1"/>
    <x v="2"/>
    <s v="OUI"/>
    <s v="Mohamed SAMIR"/>
    <s v="25.0385213"/>
    <s v="55.1837424"/>
    <s v="https://plazza.orange.com/docs/DOC-2346810"/>
    <m/>
    <m/>
    <m/>
  </r>
  <r>
    <s v="EQLOLONDUNSE"/>
    <s v="OLD"/>
    <x v="2"/>
    <s v="EMEA"/>
    <x v="26"/>
    <s v="London"/>
    <s v="London"/>
    <s v="Equant"/>
    <s v="LONX04/LONX05"/>
    <s v="1 Muirfield Crescent- Off Pepper Street- London E14 9SZ"/>
    <s v="London - Archway House"/>
    <x v="1"/>
    <s v="NON"/>
    <s v="Samy TAHIRI"/>
    <s v="51.4966976"/>
    <s v="-0.0181943"/>
    <s v="To be done"/>
    <m/>
    <m/>
    <m/>
  </r>
  <r>
    <s v="EQROPARKUNAL"/>
    <s v="NEW"/>
    <x v="2"/>
    <s v="EMEA"/>
    <x v="26"/>
    <s v="London"/>
    <s v="Royal Park"/>
    <s v="Equant"/>
    <s v="LONH04/LONT04"/>
    <s v="Unit 2 - Ursula Lapp Ind Estate, Park Royal Bay, Old Oak Lane London NW10 6UD"/>
    <s v="Park Royal"/>
    <x v="5"/>
    <s v="NON"/>
    <s v="Samy TAHIRI"/>
    <s v="51.5278587"/>
    <s v="-0.2618239"/>
    <s v="To be done"/>
    <m/>
    <m/>
    <m/>
  </r>
  <r>
    <s v="BRABBRIGUNDC"/>
    <s v="OLD"/>
    <x v="2"/>
    <s v="EMEA"/>
    <x v="26"/>
    <s v="Scotland"/>
    <s v="Aberdeen"/>
    <s v="Brightsolid"/>
    <s v="to be determined with GINI"/>
    <s v="BrightSolid Journal Ltd. _x000a_Aberdeen AB15 6DF_x000a_United Kingdom _x000a_"/>
    <s v="Brightsolid DC"/>
    <x v="2"/>
    <s v="OUI"/>
    <s v="Samy TAHIRI"/>
    <s v="57.1498891"/>
    <s v="-2.0937528"/>
    <s v="https://plazza.orange.com/docs/DOC-569614"/>
    <m/>
    <m/>
    <m/>
  </r>
  <r>
    <s v="EQHOEQUAUNSE"/>
    <s v="NEW"/>
    <x v="2"/>
    <s v="EMEA"/>
    <x v="26"/>
    <s v="London"/>
    <s v="Hounslow"/>
    <s v="Equant"/>
    <s v="to be determined with GINI"/>
    <s v="1st Floor Lampton House  Lampton Road, Hounslow, TW3 4EY"/>
    <s v="Equant Lampton House"/>
    <x v="5"/>
    <s v="NON"/>
    <s v="Samy TAHIRI"/>
    <s v="51.4781906"/>
    <s v="-0.3647594"/>
    <s v="To be done"/>
    <m/>
    <m/>
    <m/>
  </r>
  <r>
    <s v="EQCHCH1UNH1"/>
    <s v="MARK"/>
    <x v="0"/>
    <s v="NAM"/>
    <x v="16"/>
    <s v="Illinois"/>
    <s v="Chicago"/>
    <s v="Equinix"/>
    <s v="CHIL02"/>
    <s v="350 E Cermak Rd, 5th Floor, Chicago, Illinois, United States of America, 60616"/>
    <s v="CH1"/>
    <x v="2"/>
    <s v="OUI"/>
    <s v="Mark OLSZEWSKI"/>
    <s v="41.8531135"/>
    <s v="-87.6183281"/>
    <s v="https://plazza.orange.com/docs/DOC-759493"/>
    <m/>
    <m/>
    <m/>
  </r>
  <r>
    <s v="EQCHCH2UNH2"/>
    <s v="MARK"/>
    <x v="0"/>
    <s v="NAM"/>
    <x v="16"/>
    <s v="Illinois"/>
    <s v="Chicago"/>
    <s v="Equinix"/>
    <s v="CHID03"/>
    <s v="350 E Cermak Rd, 5th Floor, Chicago, Illinois, United States of America, 60616"/>
    <s v="CH2"/>
    <x v="2"/>
    <s v="OUI"/>
    <s v="Mark OLSZEWSKI"/>
    <s v="41.8531135"/>
    <s v="-87.6183281"/>
    <s v="https://plazza.orange.com/docs/DOC-759493"/>
    <m/>
    <m/>
    <m/>
  </r>
  <r>
    <s v="EQCHCH4UNH4"/>
    <s v="MARK"/>
    <x v="0"/>
    <s v="NAM"/>
    <x v="16"/>
    <s v="Illinois"/>
    <s v="Chicago"/>
    <s v="Equinix"/>
    <s v="CHIF03"/>
    <s v="350 E Cermak Rd, 5th Floor, Chicago, Illinois, United States of America, 60616"/>
    <s v="CH4"/>
    <x v="2"/>
    <s v="OUI"/>
    <s v="Mark OLSZEWSKI"/>
    <s v="41.8531135"/>
    <s v="-87.6183281"/>
    <s v="https://plazza.orange.com/docs/DOC-759493"/>
    <m/>
    <m/>
    <m/>
  </r>
  <r>
    <s v="EQCUCU2UNU2"/>
    <s v="MARK"/>
    <x v="0"/>
    <s v="NAM"/>
    <x v="16"/>
    <s v="Virginia"/>
    <s v="Culpeper"/>
    <s v="Equinix"/>
    <s v="not found on GINI"/>
    <s v="18155 Technology Drive, Building B, Culpeper, VA, United States of America, 22701"/>
    <s v="CU2"/>
    <x v="2"/>
    <s v="OUI"/>
    <s v="Mark OLSZEWSKI"/>
    <s v="38.4551336"/>
    <s v="-77.9780767"/>
    <s v="https://plazza.orange.com/docs/DOC-759493"/>
    <m/>
    <m/>
    <m/>
  </r>
  <r>
    <s v="EQDADA3UNA3"/>
    <s v="MARK"/>
    <x v="0"/>
    <s v="NAM"/>
    <x v="16"/>
    <s v="Texas"/>
    <s v="Dallas"/>
    <s v="Equinix"/>
    <s v="not found on GINI"/>
    <s v=" 1950 North Stemmons Freeway, Suite 1034, Dallas, Texas, United States of America, 75207"/>
    <s v="DA3"/>
    <x v="2"/>
    <s v="OUI"/>
    <s v="Mark OLSZEWSKI"/>
    <s v="32.8007033"/>
    <s v="-96.8191899"/>
    <s v="https://plazza.orange.com/docs/DOC-759493"/>
    <m/>
    <m/>
    <m/>
  </r>
  <r>
    <s v="EQASDC11UN11"/>
    <s v="MARK"/>
    <x v="0"/>
    <s v="NAM"/>
    <x v="16"/>
    <s v="Virginia"/>
    <s v="Ashburn"/>
    <s v="Equinix"/>
    <s v="IADF02"/>
    <s v="21721 Filigree Court, Suite B, Ashburn, Virginia, United States of America, 20147"/>
    <s v="DC11"/>
    <x v="2"/>
    <s v="OUI"/>
    <s v="Mark OLSZEWSKI"/>
    <s v="39.0152031"/>
    <s v="-77.4594652"/>
    <s v="https://plazza.orange.com/docs/DOC-759493"/>
    <m/>
    <m/>
    <m/>
  </r>
  <r>
    <s v="EQASDC13UN13"/>
    <s v="MARK"/>
    <x v="0"/>
    <s v="NAM"/>
    <x v="16"/>
    <s v="Virginia"/>
    <s v="Ashburn"/>
    <s v="Equinix"/>
    <s v="not found on GINI"/>
    <s v="21830 Uunet Way, Ashburn, Virginia, United States of America, 20147"/>
    <s v="DC13"/>
    <x v="2"/>
    <s v="OUI"/>
    <s v="Mark OLSZEWSKI"/>
    <s v="39.0124932"/>
    <s v="-77.4753692"/>
    <s v="https://plazza.orange.com/docs/DOC-759493"/>
    <m/>
    <m/>
    <m/>
  </r>
  <r>
    <s v="EQASDC21UN21"/>
    <s v="MARK"/>
    <x v="0"/>
    <s v="NAM"/>
    <x v="16"/>
    <s v="Virginia"/>
    <s v="Ashburn"/>
    <s v="Equinix"/>
    <s v="not found on GINI"/>
    <s v="22175 Beaumeade Circle, Ashburn, Virginia, United States of America, 20147"/>
    <s v="DC21"/>
    <x v="2"/>
    <s v="OUI"/>
    <s v="Mark OLSZEWSKI"/>
    <s v="39.0119765"/>
    <s v="-77.45414099999999"/>
    <s v="https://plazza.orange.com/docs/DOC-759493"/>
    <m/>
    <m/>
    <m/>
  </r>
  <r>
    <s v="CONENY1UNY1"/>
    <s v="NEW"/>
    <x v="0"/>
    <s v="NAM"/>
    <x v="16"/>
    <s v="New York"/>
    <s v="New York"/>
    <s v="Coresite"/>
    <s v="not found on GINI"/>
    <s v="32 6th Ave # 70, New York, NY 10013"/>
    <s v="NY1"/>
    <x v="1"/>
    <s v="NON"/>
    <s v="Mark OLSZEWSKI"/>
    <s v="40.7200627"/>
    <s v="-74.00474779999999"/>
    <s v="To be done"/>
    <m/>
    <m/>
    <m/>
  </r>
  <r>
    <s v="EQCHCH3UNH3"/>
    <s v="NEW"/>
    <x v="0"/>
    <s v="NAM"/>
    <x v="16"/>
    <s v="Illinois"/>
    <s v="Chicago"/>
    <s v="Equinix"/>
    <s v="ORDC01"/>
    <s v="1905 Lunt Ave.  Elk Grove Village, IL 60007 "/>
    <s v="CH3"/>
    <x v="5"/>
    <s v="NON"/>
    <s v="Mark OLSZEWSKI"/>
    <s v="42.0010976"/>
    <s v="-87.9548634"/>
    <s v="To be done"/>
    <m/>
    <m/>
    <m/>
  </r>
  <r>
    <s v="NTSTSTERUNNG"/>
    <s v="NEW"/>
    <x v="0"/>
    <s v="NAM"/>
    <x v="16"/>
    <s v="Sterling"/>
    <s v="Sterling"/>
    <s v="NTT"/>
    <s v="IADD01"/>
    <s v="22451 Shaw Road      Sterling, VA  20166"/>
    <s v="Sterling"/>
    <x v="5"/>
    <s v="NON"/>
    <s v="Mark OLSZEWSKI"/>
    <s v="38.99399409999999"/>
    <s v="-77.43158559999999"/>
    <s v="To be done"/>
    <m/>
    <m/>
    <m/>
  </r>
  <r>
    <s v="EQASDC3UNC3"/>
    <s v="MARK"/>
    <x v="0"/>
    <s v="NAM"/>
    <x v="16"/>
    <s v="Virginia"/>
    <s v="Ashburn"/>
    <s v="Equinix"/>
    <s v="not found on GINI"/>
    <s v="44470 Chilum Place, 20147, Ashburn"/>
    <s v="DC3"/>
    <x v="2"/>
    <s v="OUI"/>
    <s v="Mark OLSZEWSKI"/>
    <s v="39.0221038"/>
    <s v="-77.460696"/>
    <s v="https://plazza.orange.com/docs/DOC-759493"/>
    <m/>
    <m/>
    <m/>
  </r>
  <r>
    <s v="EQASDC4UNC4"/>
    <s v="MARK"/>
    <x v="0"/>
    <s v="NAM"/>
    <x v="16"/>
    <s v="Virginia"/>
    <s v="Ashburn"/>
    <s v="Equinix"/>
    <s v="IADD03"/>
    <s v="21691 Filigree Court, Ashburn, Virginia, United States of America, 20147"/>
    <s v="DC4"/>
    <x v="2"/>
    <s v="OUI"/>
    <s v="Mark OLSZEWSKI"/>
    <s v="39.0164848"/>
    <s v="-77.4619615"/>
    <s v="https://plazza.orange.com/docs/DOC-759493"/>
    <m/>
    <m/>
    <m/>
  </r>
  <r>
    <s v="IXMOIXCERUDC"/>
    <s v="OLD"/>
    <x v="2"/>
    <s v="EMEA"/>
    <x v="27"/>
    <s v="Moscow"/>
    <s v="Moscow"/>
    <s v="Ixcellerate"/>
    <s v="to be determined with GINI"/>
    <s v="Altuf'yevskoye Shosse, 33Г, Moscow, Russie, 127410"/>
    <s v="Ixcellerate DC"/>
    <x v="2"/>
    <s v="OUI"/>
    <s v="Mohamed SAMIR"/>
    <s v="55.8623729"/>
    <s v="37.5771763"/>
    <s v="To be done"/>
    <m/>
    <m/>
    <m/>
  </r>
  <r>
    <s v="EQDEDE1UNE1"/>
    <s v="OLD"/>
    <x v="0"/>
    <s v="NAM"/>
    <x v="16"/>
    <s v="Denver"/>
    <s v="Denver"/>
    <s v="Equinix"/>
    <s v="not found on GINI"/>
    <s v="9706 East Easter Avenue_x000a_Suite 160_x000a_Englewood, CO 80112"/>
    <s v="DE1"/>
    <x v="2"/>
    <s v="OUI"/>
    <s v="Mark OLSZEWSKI"/>
    <s v="39.5873917"/>
    <s v="-104.8763163"/>
    <s v="https://plazza.orange.com/docs/DOC-759493"/>
    <m/>
    <m/>
    <m/>
  </r>
  <r>
    <s v="EQSLLD5UND5"/>
    <s v="NEW"/>
    <x v="2"/>
    <s v="EMEA"/>
    <x v="26"/>
    <s v="London"/>
    <s v="Slough"/>
    <s v="Equinix"/>
    <s v="to be determined with GINI"/>
    <s v="8 Buckingham Avenue , Slough Trading Estate – Slough  Berkshire SL1 4AX "/>
    <s v="LD5"/>
    <x v="2"/>
    <s v="OUI"/>
    <s v="Samy TAHIRI"/>
    <s v="51.5224355"/>
    <s v="-0.6290175"/>
    <s v="https://plazza.orange.com/docs/DOC-724624"/>
    <m/>
    <m/>
    <m/>
  </r>
  <r>
    <s v="EQSLLD6UND6"/>
    <s v="NEW"/>
    <x v="2"/>
    <s v="EMEA"/>
    <x v="26"/>
    <s v="London"/>
    <s v="Slough"/>
    <s v="Equinix"/>
    <s v="to be determined with GINI"/>
    <s v="352 Buckingham Ave, Slough SL1 4NL"/>
    <s v="LD6"/>
    <x v="2"/>
    <s v="OUI"/>
    <s v="Samy TAHIRI"/>
    <s v="51.52456979999999"/>
    <s v="-0.6349477"/>
    <s v="https://plazza.orange.com/docs/DOC-724624"/>
    <m/>
    <m/>
    <m/>
  </r>
  <r>
    <s v="EQSLLD7UND7"/>
    <s v="NEW"/>
    <x v="2"/>
    <s v="EMEA"/>
    <x v="26"/>
    <s v="London"/>
    <s v="Slough"/>
    <s v="Equinix"/>
    <s v="to be determined with GINI"/>
    <s v="1 Banbury Ave, Slough SL1 4LH, Royaume-Uni"/>
    <s v="LD7"/>
    <x v="2"/>
    <s v="OUI"/>
    <s v="Samy TAHIRI"/>
    <s v="51.5257496"/>
    <s v="-0.6357767999999999"/>
    <s v="https://plazza.orange.com/docs/DOC-724624"/>
    <m/>
    <m/>
    <m/>
  </r>
  <r>
    <s v="EQLOLD8UND8"/>
    <s v="NEW"/>
    <x v="2"/>
    <s v="EMEA"/>
    <x v="26"/>
    <s v="London"/>
    <s v="London"/>
    <s v="Equinix"/>
    <s v="to be determined with GINI"/>
    <s v="6-7 Harbour Exchange Square, London E14 9GE, Royaume-Uni"/>
    <s v="LD8"/>
    <x v="2"/>
    <s v="OUI"/>
    <s v="Samy TAHIRI"/>
    <s v="51.4981847"/>
    <s v="-0.0142533"/>
    <s v="https://plazza.orange.com/docs/DOC-724624"/>
    <m/>
    <m/>
    <m/>
  </r>
  <r>
    <s v="EQLOLD9UND9"/>
    <s v="NEW"/>
    <x v="2"/>
    <s v="EMEA"/>
    <x v="26"/>
    <s v="London"/>
    <s v="London"/>
    <s v="Equinix"/>
    <s v="to be determined with GINI"/>
    <s v="Unit 1, Powergate Business Park, Volt Avenue, London NW10 6PW"/>
    <s v="LD9"/>
    <x v="2"/>
    <s v="OUI"/>
    <s v="Samy TAHIRI"/>
    <s v="51.5318382"/>
    <s v="-0.2573596"/>
    <s v="https://plazza.orange.com/docs/DOC-724624"/>
    <m/>
    <m/>
    <m/>
  </r>
  <r>
    <s v="EQNENY1UNY1"/>
    <s v="MARK"/>
    <x v="0"/>
    <s v="NAM"/>
    <x v="16"/>
    <s v="New Jersey"/>
    <s v="Newark"/>
    <s v="Equinix"/>
    <s v="EWRR01"/>
    <s v="165 Halsey St, 8th Floor, Newark, New Jersey, United States of America, 07102"/>
    <s v="NY1"/>
    <x v="2"/>
    <s v="OUI"/>
    <s v="Mark OLSZEWSKI"/>
    <s v="40.7368442"/>
    <s v="-74.17340229999999"/>
    <s v="https://plazza.orange.com/docs/DOC-759493"/>
    <m/>
    <m/>
    <m/>
  </r>
  <r>
    <s v="EQSENY2UNY2"/>
    <s v="MARK"/>
    <x v="0"/>
    <s v="NAM"/>
    <x v="16"/>
    <s v="New Jersey"/>
    <s v="Secaucus"/>
    <s v="Equinix"/>
    <s v="EWRL02"/>
    <s v="275 Hartz Way, Secaucus, New Jersey, United States of America, 07094"/>
    <s v="NY2"/>
    <x v="2"/>
    <s v="OUI"/>
    <s v="Mark OLSZEWSKI"/>
    <s v="40.7778177"/>
    <s v="-74.07590859999999"/>
    <s v="https://plazza.orange.com/docs/DOC-759493"/>
    <m/>
    <m/>
    <m/>
  </r>
  <r>
    <s v="EQSENY5UNY5"/>
    <s v="MARK"/>
    <x v="0"/>
    <s v="NAM"/>
    <x v="16"/>
    <s v="New Jersey"/>
    <s v="Secaucus"/>
    <s v="Equinix"/>
    <s v="to be determined with GINI"/>
    <s v="800 Secaucus Rd, Secaucus, New Jersey, United States of America, 07094"/>
    <s v="NY5"/>
    <x v="2"/>
    <s v="OUI"/>
    <s v="Mark OLSZEWSKI"/>
    <s v="40.7785344"/>
    <s v="-74.0722373"/>
    <s v="https://plazza.orange.com/docs/DOC-759493"/>
    <m/>
    <m/>
    <m/>
  </r>
  <r>
    <s v="EQSENY6UNY6"/>
    <s v="MARK"/>
    <x v="0"/>
    <s v="NAM"/>
    <x v="16"/>
    <s v="New Jersey"/>
    <s v="Secaucus"/>
    <s v="Equinix"/>
    <s v="NYCC31"/>
    <s v="105 Enterprise Avenue South, Secaucus, New Jersey, United States of America, 7094"/>
    <s v="NY6"/>
    <x v="2"/>
    <s v="OUI"/>
    <s v="Mark OLSZEWSKI"/>
    <s v="40.7775316"/>
    <s v="-74.072788"/>
    <s v="https://plazza.orange.com/docs/DOC-759493"/>
    <m/>
    <m/>
    <m/>
  </r>
  <r>
    <s v="EQNENY9UNY9"/>
    <s v="MARK"/>
    <x v="0"/>
    <s v="NAM"/>
    <x v="16"/>
    <s v="New York"/>
    <s v="New York"/>
    <s v="Equinix"/>
    <s v="not found on GINI"/>
    <s v="111 8th Ave, New York, New York, United States of America, 10011"/>
    <s v="NY9"/>
    <x v="2"/>
    <s v="OUI"/>
    <s v="Mark OLSZEWSKI"/>
    <s v="40.7414911"/>
    <s v="-74.00338889999999"/>
    <s v="https://plazza.orange.com/docs/DOC-759493"/>
    <m/>
    <m/>
    <m/>
  </r>
  <r>
    <s v="EQSESE2UNE2"/>
    <s v="MARK"/>
    <x v="0"/>
    <s v="NAM"/>
    <x v="16"/>
    <s v="Washington"/>
    <s v="Seattle"/>
    <s v="Equinix"/>
    <s v="SEAC04"/>
    <s v="2001 Sixth Ave, #350, Seattle, Washington, United States of America, 98121"/>
    <s v="SE2"/>
    <x v="2"/>
    <s v="OUI"/>
    <s v="Mark OLSZEWSKI"/>
    <s v="47.6143474"/>
    <s v="-122.3388835"/>
    <s v="https://plazza.orange.com/docs/DOC-759493"/>
    <m/>
    <m/>
    <m/>
  </r>
  <r>
    <s v="ORLOORANPODZ"/>
    <s v="OLD"/>
    <x v="2"/>
    <s v="EMEA"/>
    <x v="28"/>
    <s v="Lodz"/>
    <s v="Lodz"/>
    <s v="Orange Poland"/>
    <s v="LCJT01"/>
    <s v="92-104 Lodz, Stokowska 17/19"/>
    <s v="Orange PoP Lodz"/>
    <x v="2"/>
    <s v="OUI"/>
    <s v="Mohamed SAMIR"/>
    <s v="51.78956549999999"/>
    <s v="19.5063216"/>
    <s v="To be done"/>
    <m/>
    <m/>
    <m/>
  </r>
  <r>
    <s v="ORDAORANSEUE"/>
    <s v="OLD"/>
    <x v="2"/>
    <s v="EMEA"/>
    <x v="29"/>
    <s v="Dakar"/>
    <s v="Dakar"/>
    <s v="Orange Sonatel"/>
    <s v="to be determined with GINI"/>
    <s v="Rte de Rufisque, Dakar, Sénégal"/>
    <s v="Orange Sonatel Rufisque"/>
    <x v="2"/>
    <s v="OUI"/>
    <s v="Mohamed SAMIR"/>
    <s v="14.6818762"/>
    <s v="-17.4377127"/>
    <s v="To be done"/>
    <m/>
    <m/>
    <m/>
  </r>
  <r>
    <s v="ORGRORANIVIB"/>
    <s v="OLD"/>
    <x v="2"/>
    <s v="EMEA"/>
    <x v="30"/>
    <s v="Grand Bassam"/>
    <s v="Grand Bassam"/>
    <s v="Orange CI"/>
    <s v="ABJF04"/>
    <s v="VITIB Academy – BP 605 Grand-Bassam"/>
    <s v="Orange VITIB"/>
    <x v="2"/>
    <s v="OUI"/>
    <s v="Mohamed SAMIR"/>
    <s v="5.2303465"/>
    <s v="-3.7577792"/>
    <s v="To be done"/>
    <m/>
    <m/>
    <m/>
  </r>
  <r>
    <s v="OROSOSL3NOL3"/>
    <s v="MICH"/>
    <x v="2"/>
    <s v="EMEA"/>
    <x v="17"/>
    <s v="Oslo"/>
    <s v="Oslo"/>
    <s v="Orange Digital Services Europe"/>
    <s v="OSLT04"/>
    <s v="Stanseveien 30, 0976 Oslo, Norway"/>
    <s v="OSL3"/>
    <x v="3"/>
    <s v="OUI"/>
    <s v="Michael Storrøsten "/>
    <s v="59.9494696"/>
    <s v="10.8810953"/>
    <s v="To be done"/>
    <m/>
    <m/>
    <m/>
  </r>
  <r>
    <s v="OROSOSL5NOL5"/>
    <s v="MICH"/>
    <x v="2"/>
    <s v="EMEA"/>
    <x v="17"/>
    <s v="Oslo"/>
    <s v="Oslo"/>
    <s v="Orange Digital Services Europe"/>
    <s v="OSL5"/>
    <s v="Hornerudveien 25, 1461 Lørenskog, Norway"/>
    <s v="OSL5"/>
    <x v="3"/>
    <s v="OUI"/>
    <s v="Michael Storrøsten "/>
    <s v="59.9259543"/>
    <s v="10.9420651"/>
    <s v="To be done"/>
    <m/>
    <m/>
    <m/>
  </r>
  <r>
    <s v="EQSESE3UNE3"/>
    <s v="MARK"/>
    <x v="0"/>
    <s v="NAM"/>
    <x v="16"/>
    <s v="Washington"/>
    <s v="Seattle"/>
    <s v="Equinix"/>
    <s v="SEAL02"/>
    <s v="2020 Fifth Avenue, Seattle, Washington, United States of America, 98121"/>
    <s v="SE3"/>
    <x v="2"/>
    <s v="OUI"/>
    <s v="Mark OLSZEWSKI"/>
    <s v="47.6144214"/>
    <s v="-122.3397413"/>
    <s v="https://plazza.orange.com/docs/DOC-759493"/>
    <m/>
    <m/>
    <m/>
  </r>
  <r>
    <s v="EQSASV1UNV1"/>
    <s v="MARK"/>
    <x v="0"/>
    <s v="NAM"/>
    <x v="16"/>
    <s v="California"/>
    <s v="San Jose"/>
    <s v="Equinix"/>
    <s v="SJCC05"/>
    <s v="11 Great Oaks Boulevard, San Jose, California, United States of America, 95119"/>
    <s v="SV1"/>
    <x v="2"/>
    <s v="OUI"/>
    <s v="Mark OLSZEWSKI"/>
    <s v="37.2415378"/>
    <s v="-121.783474"/>
    <s v="https://plazza.orange.com/docs/DOC-759493"/>
    <m/>
    <m/>
    <m/>
  </r>
  <r>
    <s v="EQSENY4UNY4"/>
    <s v="NEW"/>
    <x v="0"/>
    <s v="NAM"/>
    <x v="16"/>
    <s v="New Jersey"/>
    <s v="Secaucus"/>
    <s v="Equinix"/>
    <s v="to be determined with GINI"/>
    <s v="755 Secaucus Road, Secaucus, NJ 07094"/>
    <s v="NY4"/>
    <x v="5"/>
    <s v="NON"/>
    <s v="Mark OLSZEWSKI"/>
    <s v="40.7764996"/>
    <s v="-74.06985089999999"/>
    <s v="To be done"/>
    <m/>
    <m/>
    <m/>
  </r>
  <r>
    <s v="EQSASV10UN10"/>
    <s v="MARK"/>
    <x v="0"/>
    <s v="NAM"/>
    <x v="16"/>
    <s v="California"/>
    <s v="San Jose"/>
    <s v="Equinix"/>
    <s v="SJCF02"/>
    <s v="7 Great Oaks Boulevard, N/A, San Jose, California, United States of America, 95119"/>
    <s v="SV10"/>
    <x v="2"/>
    <s v="OUI"/>
    <s v="Mark OLSZEWSKI"/>
    <s v="37.2413955"/>
    <s v="-121.7849556"/>
    <s v="https://plazza.orange.com/docs/DOC-759493"/>
    <m/>
    <m/>
    <m/>
  </r>
  <r>
    <s v="EQSASV3UNV3"/>
    <s v="MARK"/>
    <x v="0"/>
    <s v="NAM"/>
    <x v="16"/>
    <s v="California"/>
    <s v="San Jose"/>
    <s v="Equinix"/>
    <s v="not found on GINI"/>
    <s v="1735 Lundy Ave, San Jose, California, United States of America, 95131"/>
    <s v="SV3"/>
    <x v="2"/>
    <s v="OUI"/>
    <s v="Mark OLSZEWSKI"/>
    <s v="37.38823470000001"/>
    <s v="-121.8884572"/>
    <s v="https://plazza.orange.com/docs/DOC-759493"/>
    <m/>
    <m/>
    <m/>
  </r>
  <r>
    <s v="EQSASV5UNV5"/>
    <s v="MARK"/>
    <x v="0"/>
    <s v="NAM"/>
    <x v="16"/>
    <s v="California"/>
    <s v="San Jose"/>
    <s v="Equinix"/>
    <s v="SJCD02"/>
    <s v="9 Great Oaks Boulevard, San Jose, California, United States of America, 95119"/>
    <s v="SV5"/>
    <x v="2"/>
    <s v="OUI"/>
    <s v="Mark OLSZEWSKI"/>
    <s v="37.2418698"/>
    <s v="-121.7816047"/>
    <s v="https://plazza.orange.com/docs/DOC-759493"/>
    <m/>
    <m/>
    <m/>
  </r>
  <r>
    <s v="NTSASAN UNSE"/>
    <s v="NEW"/>
    <x v="0"/>
    <s v="NAM"/>
    <x v="16"/>
    <s v="California"/>
    <s v="San Jose"/>
    <s v="NTT"/>
    <s v="SJCD01"/>
    <s v="2334 Lundy Place San Jose, CA  95131"/>
    <s v="San Jose"/>
    <x v="2"/>
    <s v="OUI"/>
    <s v="Mark OLSZEWSKI"/>
    <s v="37.4039431"/>
    <s v="-121.8894616"/>
    <s v="https://plazza.orange.com/docs/DOC-724110"/>
    <m/>
    <m/>
    <m/>
  </r>
  <r>
    <s v="QTATATL1UNL1"/>
    <s v="MARK"/>
    <x v="0"/>
    <s v="NAM"/>
    <x v="16"/>
    <s v="Georgia"/>
    <s v="Atlanta"/>
    <s v="QTS"/>
    <s v="ATLH06"/>
    <s v="1033 Jefferson Street NW, Atlanta, Georgia 30318 "/>
    <s v="ATL1"/>
    <x v="3"/>
    <s v="OUI"/>
    <s v="Mark OLSZEWSKI"/>
    <s v="33.7759874"/>
    <s v="-84.42104909999999"/>
    <s v="To be done"/>
    <m/>
    <m/>
    <m/>
  </r>
  <r>
    <s v="ORHEIADXUN01"/>
    <s v="MARK"/>
    <x v="0"/>
    <s v="NAM"/>
    <x v="16"/>
    <s v="Virginia"/>
    <s v="Herndon"/>
    <s v="Orange"/>
    <s v="IADX01"/>
    <s v="13775 McLearen Road, 20171, Herndon"/>
    <s v="IADX01"/>
    <x v="5"/>
    <s v="NON"/>
    <s v="Mark OLSZEWSKI"/>
    <s v="38.9270217"/>
    <s v="-77.4240282"/>
    <s v="To be done"/>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F5166C-BD10-4E76-BBC1-D454878D265F}" name="Tableau croisé dynamique4" cacheId="0" applyNumberFormats="0" applyBorderFormats="0" applyFontFormats="0" applyPatternFormats="0" applyAlignmentFormats="0" applyWidthHeightFormats="1" dataCaption="Valeurs" updatedVersion="8" minRefreshableVersion="3" useAutoFormatting="1" itemPrintTitles="1" createdVersion="8" indent="0" compact="0" outline="1" outlineData="1" compactData="0" multipleFieldFilters="0">
  <location ref="A3:E37" firstHeaderRow="1" firstDataRow="2" firstDataCol="2"/>
  <pivotFields count="20">
    <pivotField compact="0" subtotalTop="0" showAll="0" insertBlankRow="1"/>
    <pivotField compact="0" subtotalTop="0" showAll="0" insertBlankRow="1"/>
    <pivotField axis="axisRow" compact="0" subtotalTop="0" showAll="0" insertBlankRow="1">
      <items count="4">
        <item x="0"/>
        <item x="1"/>
        <item x="2"/>
        <item t="default"/>
      </items>
    </pivotField>
    <pivotField compact="0" subtotalTop="0" showAll="0" insertBlankRow="1"/>
    <pivotField axis="axisRow" compact="0" subtotalTop="0" showAll="0" insertBlankRow="1">
      <items count="32">
        <item x="0"/>
        <item x="1"/>
        <item x="2"/>
        <item x="3"/>
        <item x="4"/>
        <item x="5"/>
        <item x="6"/>
        <item x="7"/>
        <item x="8"/>
        <item x="9"/>
        <item x="10"/>
        <item x="30"/>
        <item x="12"/>
        <item x="13"/>
        <item x="14"/>
        <item x="15"/>
        <item x="11"/>
        <item x="17"/>
        <item x="28"/>
        <item x="18"/>
        <item x="27"/>
        <item x="29"/>
        <item x="19"/>
        <item x="20"/>
        <item x="21"/>
        <item x="22"/>
        <item x="23"/>
        <item x="24"/>
        <item x="25"/>
        <item x="26"/>
        <item x="16"/>
        <item t="default"/>
      </items>
    </pivotField>
    <pivotField compact="0" subtotalTop="0" showAll="0" insertBlankRow="1"/>
    <pivotField compact="0" subtotalTop="0" showAll="0" insertBlankRow="1"/>
    <pivotField compact="0" subtotalTop="0" showAll="0" insertBlankRow="1"/>
    <pivotField compact="0" subtotalTop="0" showAll="0" insertBlankRow="1"/>
    <pivotField compact="0" subtotalTop="0" showAll="0" insertBlankRow="1"/>
    <pivotField compact="0" subtotalTop="0" showAll="0" insertBlankRow="1"/>
    <pivotField axis="axisCol" dataField="1" compact="0" subtotalTop="0" multipleItemSelectionAllowed="1" showAll="0" insertBlankRow="1" sumSubtotal="1">
      <items count="7">
        <item x="3"/>
        <item x="2"/>
        <item h="1" x="0"/>
        <item h="1" x="5"/>
        <item h="1" x="1"/>
        <item h="1" x="4"/>
        <item t="sum"/>
      </items>
    </pivotField>
    <pivotField compact="0" subtotalTop="0" showAll="0" insertBlankRow="1"/>
    <pivotField compact="0" subtotalTop="0" showAll="0" insertBlankRow="1"/>
    <pivotField compact="0" subtotalTop="0" showAll="0" insertBlankRow="1"/>
    <pivotField compact="0" subtotalTop="0" showAll="0" insertBlankRow="1"/>
    <pivotField compact="0" subtotalTop="0" showAll="0" insertBlankRow="1"/>
    <pivotField compact="0" subtotalTop="0" showAll="0" insertBlankRow="1"/>
    <pivotField compact="0" subtotalTop="0" showAll="0" insertBlankRow="1"/>
    <pivotField compact="0" subtotalTop="0" showAll="0" insertBlankRow="1"/>
  </pivotFields>
  <rowFields count="2">
    <field x="2"/>
    <field x="4"/>
  </rowFields>
  <rowItems count="33">
    <i>
      <x/>
    </i>
    <i r="1">
      <x v="3"/>
    </i>
    <i r="1">
      <x v="6"/>
    </i>
    <i r="1">
      <x v="30"/>
    </i>
    <i t="default">
      <x/>
    </i>
    <i t="blank">
      <x/>
    </i>
    <i>
      <x v="1"/>
    </i>
    <i r="1">
      <x v="1"/>
    </i>
    <i r="1">
      <x v="5"/>
    </i>
    <i r="1">
      <x v="9"/>
    </i>
    <i r="1">
      <x v="12"/>
    </i>
    <i r="1">
      <x v="22"/>
    </i>
    <i t="default">
      <x v="1"/>
    </i>
    <i t="blank">
      <x v="1"/>
    </i>
    <i>
      <x v="2"/>
    </i>
    <i r="1">
      <x v="7"/>
    </i>
    <i r="1">
      <x v="8"/>
    </i>
    <i r="1">
      <x v="10"/>
    </i>
    <i r="1">
      <x v="11"/>
    </i>
    <i r="1">
      <x v="14"/>
    </i>
    <i r="1">
      <x v="16"/>
    </i>
    <i r="1">
      <x v="17"/>
    </i>
    <i r="1">
      <x v="18"/>
    </i>
    <i r="1">
      <x v="20"/>
    </i>
    <i r="1">
      <x v="21"/>
    </i>
    <i r="1">
      <x v="23"/>
    </i>
    <i r="1">
      <x v="24"/>
    </i>
    <i r="1">
      <x v="26"/>
    </i>
    <i r="1">
      <x v="28"/>
    </i>
    <i r="1">
      <x v="29"/>
    </i>
    <i t="default">
      <x v="2"/>
    </i>
    <i t="blank">
      <x v="2"/>
    </i>
    <i t="grand">
      <x/>
    </i>
  </rowItems>
  <colFields count="1">
    <field x="11"/>
  </colFields>
  <colItems count="3">
    <i>
      <x/>
    </i>
    <i>
      <x v="1"/>
    </i>
    <i t="grand">
      <x/>
    </i>
  </colItems>
  <dataFields count="1">
    <dataField name="Nombre de Type of DC" fld="11" subtotal="count" baseField="0" baseItem="0"/>
  </dataFields>
  <formats count="4">
    <format dxfId="18">
      <pivotArea field="2" type="button" dataOnly="0" labelOnly="1" outline="0" axis="axisRow" fieldPosition="0"/>
    </format>
    <format dxfId="17">
      <pivotArea field="4" type="button" dataOnly="0" labelOnly="1" outline="0" axis="axisRow" fieldPosition="1"/>
    </format>
    <format dxfId="16">
      <pivotArea dataOnly="0" labelOnly="1" outline="0" fieldPosition="0">
        <references count="1">
          <reference field="11" count="0"/>
        </references>
      </pivotArea>
    </format>
    <format dxfId="15">
      <pivotArea dataOnly="0" labelOnly="1" grandCol="1" outline="0" fieldPosition="0"/>
    </format>
  </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04BC454-C3CB-4C50-AB7D-3AF4FCF76BCC}" name="Tableau7" displayName="Tableau7" ref="A1:K500" totalsRowShown="0">
  <tableColumns count="11">
    <tableColumn id="1" xr3:uid="{48B87BA6-DC81-4DE0-B4DB-1D7A2416934E}" name="ID Unique">
      <calculatedColumnFormula>IFERROR(Tableau1[[#This Row],[ID Unique]],"")</calculatedColumnFormula>
    </tableColumn>
    <tableColumn id="2" xr3:uid="{2C65818B-434B-40DA-ADE9-DC4099FE0435}" name="Latitude">
      <calculatedColumnFormula>IFERROR(VLOOKUP($A2,'Consolidate List'!$A$2:$P$1048576,15,FALSE),"")</calculatedColumnFormula>
    </tableColumn>
    <tableColumn id="3" xr3:uid="{6E4FC933-7F86-46A0-A1C8-F64EFCAE3D77}" name="Longitude">
      <calculatedColumnFormula>IFERROR(VLOOKUP($A2,'Consolidate List'!$A$2:$P$1048576,16,FALSE),"")</calculatedColumnFormula>
    </tableColumn>
    <tableColumn id="4" xr3:uid="{C4DB5B94-B091-43A4-BBA9-BC70479C36DA}" name="Fournisseur">
      <calculatedColumnFormula>IFERROR(VLOOKUP($A2,'Consolidate List'!$A$2:$P$1048576,8,FALSE),"")</calculatedColumnFormula>
    </tableColumn>
    <tableColumn id="11" xr3:uid="{0C581727-07B9-47EC-9BF0-2D910B7F6B32}" name="Logo" dataDxfId="19"/>
    <tableColumn id="5" xr3:uid="{3A580F07-7D86-4F96-9A03-10265E54A67C}" name="Category">
      <calculatedColumnFormula>IFERROR(VLOOKUP($A2,'Consolidate List'!$A$2:$P$1048576,12,FALSE),"")</calculatedColumnFormula>
    </tableColumn>
    <tableColumn id="6" xr3:uid="{68F77E31-87F0-441D-9486-B5303991127E}" name="Supplier Site Code">
      <calculatedColumnFormula>IFERROR(VLOOKUP($A2,'Consolidate List'!$A$2:$P$1048576,11,FALSE),"")</calculatedColumnFormula>
    </tableColumn>
    <tableColumn id="7" xr3:uid="{40732A60-0B2A-47CC-A74C-C5E665542107}" name="Orange Site Code">
      <calculatedColumnFormula>IFERROR(VLOOKUP($A2,'Consolidate List'!$A$2:$P$1048576,9,FALSE),"")</calculatedColumnFormula>
    </tableColumn>
    <tableColumn id="8" xr3:uid="{C6157A79-FE70-4084-8F0F-F3EC600F8131}" name="Address">
      <calculatedColumnFormula>IFERROR(VLOOKUP($A2,'Consolidate List'!$A$2:$P$1048576,10,FALSE),"")</calculatedColumnFormula>
    </tableColumn>
    <tableColumn id="9" xr3:uid="{9048237F-C666-41E7-B427-B0BF5637052A}" name="City / Country">
      <calculatedColumnFormula>IFERROR(_xlfn.CONCAT((VLOOKUP($A2,'Consolidate List'!$A$2:$P$1048576,5,FALSE)),", ",VLOOKUP($A2,'Consolidate List'!$A$2:$P$1048576,6,FALSE)),"")</calculatedColumnFormula>
    </tableColumn>
    <tableColumn id="10" xr3:uid="{6C8CCE2D-DA25-4B6D-B677-5A9775F8980E}" name="Proximity Service Description">
      <calculatedColumnFormula>IFERROR(VLOOKUP($A2,'Consolidate List'!$A$2:$P$1048576,17,FALSE),"")</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6FC1A0-1F6E-408C-A706-B1E25E802BDC}" name="Tableau1" displayName="Tableau1" ref="A1:P181" totalsRowShown="0" headerRowDxfId="14">
  <autoFilter ref="A1:P181" xr:uid="{7E6FC1A0-1F6E-408C-A706-B1E25E802BDC}">
    <filterColumn colId="2">
      <filters>
        <filter val="EMEA"/>
      </filters>
    </filterColumn>
    <filterColumn colId="5">
      <filters>
        <filter val="Johannesbourg"/>
      </filters>
    </filterColumn>
    <filterColumn colId="10">
      <filters>
        <filter val="1 - Major"/>
        <filter val="2 - Opportunistic"/>
      </filters>
    </filterColumn>
    <filterColumn colId="15">
      <filters>
        <filter val="https://plazza.orange.com/docs/DOC-1122222"/>
        <filter val="https://plazza.orange.com/docs/DOC-2341024"/>
        <filter val="https://plazza.orange.com/docs/DOC-2346785"/>
        <filter val="https://plazza.orange.com/docs/DOC-2346810"/>
        <filter val="To be done"/>
      </filters>
    </filterColumn>
  </autoFilter>
  <sortState xmlns:xlrd2="http://schemas.microsoft.com/office/spreadsheetml/2017/richdata2" ref="A129:P173">
    <sortCondition ref="J1:J181"/>
  </sortState>
  <tableColumns count="16">
    <tableColumn id="1" xr3:uid="{89397E28-065F-49E9-9DDA-7328B1FFF6F6}" name="ID Unique">
      <calculatedColumnFormula>UPPER(_xlfn.CONCAT(LEFT(Tableau1[[#This Row],[Supplier]],2),LEFT(Tableau1[[#This Row],[City Area]],2),LEFT(Tableau1[[#This Row],[Datacenter name (supplier code)]],4),LEFT(Tableau1[[#This Row],[Country]],2),RIGHT(Tableau1[[#This Row],[Datacenter name (supplier code)]],2)))</calculatedColumnFormula>
    </tableColumn>
    <tableColumn id="27" xr3:uid="{2D73CF6E-B023-463A-8C31-B46DBDA98D22}" name="Zone"/>
    <tableColumn id="26" xr3:uid="{368D978C-C9E1-4A44-B0D5-941259456B01}" name="Region"/>
    <tableColumn id="2" xr3:uid="{722FDF4D-790E-49D2-A804-BE70C207992E}" name="Country"/>
    <tableColumn id="3" xr3:uid="{D0FCFA92-99E2-4DEC-938F-AFF700F3CAB1}" name="Cluster City"/>
    <tableColumn id="4" xr3:uid="{71B872B9-0197-4F01-BB24-408419A64562}" name="City Area"/>
    <tableColumn id="5" xr3:uid="{B7530CDB-BC23-4B9C-9655-1F324845C2E6}" name="Supplier"/>
    <tableColumn id="6" xr3:uid="{31130126-DABD-4D23-997B-014AEE4EA050}" name="Site Code Orange"/>
    <tableColumn id="7" xr3:uid="{9C259446-7333-4D10-90F3-8FC631676C1F}" name="Address"/>
    <tableColumn id="8" xr3:uid="{9B605C1C-EB39-43A3-9496-81D39A95A347}" name="Datacenter name (supplier code)"/>
    <tableColumn id="9" xr3:uid="{8F52BA2C-4126-49E5-9197-EB1421F4F956}" name="Type of DC"/>
    <tableColumn id="28" xr3:uid="{B1D2CAD5-6993-4FC6-A873-EA61E32B7673}" name="Affichage DCMAP (O/N)" dataDxfId="13">
      <calculatedColumnFormula>IF(OR(Tableau1[[#This Row],[Type of DC]]="1 - Major",Tableau1[[#This Row],[Type of DC]]="2 - Opportunistic",Tableau1[[#This Row],[Type of DC]]="6 - Catalog"),"OUI","NON")</calculatedColumnFormula>
    </tableColumn>
    <tableColumn id="33" xr3:uid="{B6DD3607-C2E5-4D5A-8AAD-873E57ABCE88}" name="DC Manager"/>
    <tableColumn id="14" xr3:uid="{ED82145C-0CDC-42AD-B403-1710DC97F045}" name="Latitude"/>
    <tableColumn id="15" xr3:uid="{FE94FC66-570D-4079-96DB-5D21A29D29CE}" name="Longitude"/>
    <tableColumn id="16" xr3:uid="{B07AE22D-78A9-461F-B8BC-45CD83E5C28D}" name="Plazza Proximit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A32073-E974-414E-A037-04A524C52D0B}" name="Tableau2" displayName="Tableau2" ref="A1:Y116" totalsRowShown="0">
  <autoFilter ref="A1:Y116" xr:uid="{57A32073-E974-414E-A037-04A524C52D0B}">
    <filterColumn colId="1">
      <filters>
        <filter val="United States"/>
      </filters>
    </filterColumn>
  </autoFilter>
  <tableColumns count="25">
    <tableColumn id="1" xr3:uid="{C21C38CB-E74D-4B9A-BE1A-440D91A29DEC}" name="Region"/>
    <tableColumn id="2" xr3:uid="{FB49C166-81B5-4DA0-8479-39AE29DF5D6F}" name="Country"/>
    <tableColumn id="3" xr3:uid="{62F0D780-1D3D-4DBF-923D-DBCB99757B5F}" name="Cluster City"/>
    <tableColumn id="4" xr3:uid="{AF3EA949-875C-4BC2-B1EC-FE0A4AB683E5}" name="City Area"/>
    <tableColumn id="5" xr3:uid="{B79CE366-F6BE-4FFB-90BB-21ADB6DD4BCE}" name="Supplier"/>
    <tableColumn id="6" xr3:uid="{BA8A35D1-D895-459F-B784-8F4365DD02AB}" name="Site Code Orange"/>
    <tableColumn id="7" xr3:uid="{0C3C3756-3585-4632-ABF1-ADDDCCC6F31F}" name="Address"/>
    <tableColumn id="8" xr3:uid="{9D65247C-8E98-4BF0-A6D9-1D0A1CAD276A}" name="Datacenter name (supplier code)"/>
    <tableColumn id="9" xr3:uid="{DD57E1D9-0E5B-4AC0-BD61-F36A97ED9E57}" name="Type of DC"/>
    <tableColumn id="10" xr3:uid="{C390C2B9-9301-41EC-8027-4C87F615A901}" name="Classification Comment "/>
    <tableColumn id="11" xr3:uid="{78D7533B-8F25-414A-85BF-E843852CC5E8}" name="Existing DRP / Comment"/>
    <tableColumn id="12" xr3:uid="{45C172E9-0A7B-4937-862B-3E96F4493CB2}" name="Facilities Site Owned by "/>
    <tableColumn id="13" xr3:uid="{B199AB3B-5D5B-4342-83C0-F02D498CC58F}" name="OCB contact ( supplier management, finances and capacity planning)"/>
    <tableColumn id="14" xr3:uid="{BCFAE679-3CA8-4D9B-8B17-B7CA8CF64891}" name="DIF/FOIS contact (site manager)"/>
    <tableColumn id="15" xr3:uid="{07FCBDFB-D941-425C-9E54-42E6211AE6F3}" name="Proximity service contacts"/>
    <tableColumn id="16" xr3:uid="{7B8FD8D8-B109-4909-8800-2DF0A81832D3}" name="UHP / Comments"/>
    <tableColumn id="17" xr3:uid="{6FBE6433-08A2-4B8B-A08E-778E4112A3B3}" name="24x7 Access security "/>
    <tableColumn id="18" xr3:uid="{D87AB1FD-6AAB-4DC6-AAD4-315EA4766613}" name="Customer top 18"/>
    <tableColumn id="19" xr3:uid="{EAA4CF9D-DE60-40D6-82B2-69DC5466D119}" name="m2"/>
    <tableColumn id="20" xr3:uid="{E08CAD60-D6AF-405F-A650-924A1D3EEAEC}" name="Audits &amp; Certifications (to be requested via DC Plazza or Burgundy - see certification sheet)"/>
    <tableColumn id="21" xr3:uid="{B733AFA8-0245-48CA-9FF1-59D129577A3B}" name="Infrastructure Datacenter Class"/>
    <tableColumn id="22" xr3:uid="{56FF4C89-12AD-413A-BBC3-4B591E49F66B}" name="Closed Orange Connectivity (km)"/>
    <tableColumn id="23" xr3:uid="{D589CAC5-1548-4E82-AD64-41DE467D09C2}" name="OBS footprint"/>
    <tableColumn id="24" xr3:uid="{C6848FE8-8F23-401A-8AA3-93E21C364D4D}" name="Local Vendor/Supplier for cabling (IMPLE responsibility)"/>
    <tableColumn id="25" xr3:uid="{3ED6E774-69F3-4FD0-9279-E2A81B7D4A78}" name="Local sourcing contact"/>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F27922-3496-4B96-B36E-77AB2C92F0BC}" name="Tableau3" displayName="Tableau3" ref="A1:L52" totalsRowShown="0">
  <autoFilter ref="A1:L52" xr:uid="{4CF27922-3496-4B96-B36E-77AB2C92F0BC}">
    <filterColumn colId="3">
      <filters>
        <filter val="California"/>
      </filters>
    </filterColumn>
  </autoFilter>
  <tableColumns count="12">
    <tableColumn id="1" xr3:uid="{53AE739C-9E2E-4087-B5B2-9CF49D144510}" name="Provider:"/>
    <tableColumn id="2" xr3:uid="{B9F4B1C9-E8C8-4C87-AE8A-DF630D09A2D0}" name="City"/>
    <tableColumn id="3" xr3:uid="{C89700F3-F4AF-4CE0-A8CC-532A53EFA2D9}" name="Address"/>
    <tableColumn id="4" xr3:uid="{197EA257-7885-4437-BC51-B8290E65EC67}" name="State"/>
    <tableColumn id="5" xr3:uid="{5BB1572C-4C10-4587-ABBE-D3FD472493DC}" name="Zip Code"/>
    <tableColumn id="6" xr3:uid="{ED8C17BE-F8DE-4DAE-B2A8-9D81BF99AE2C}" name="IBX"/>
    <tableColumn id="7" xr3:uid="{82F6A353-F836-4E2B-89CA-403B11D240C4}" name="Description"/>
    <tableColumn id="8" xr3:uid="{BDC5398F-AAEA-480B-9437-E91CB29D3AEB}" name="Cabinets"/>
    <tableColumn id="9" xr3:uid="{8A72AA17-4BC6-4EC3-B3E9-72FF68F7CAB2}" name="Cabinet count"/>
    <tableColumn id="10" xr3:uid="{88C94568-6894-436C-931C-C9A81F7C971A}" name="Customer"/>
    <tableColumn id="11" xr3:uid="{582E3501-AE70-4F07-8EFC-D9FAD6C325E2}" name="OCB Customer Code"/>
    <tableColumn id="12" xr3:uid="{DA5BDFC6-91B4-472C-BA58-EC49AC235F6C}" name="Comments"/>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65686-DACE-45CF-AC50-4A0AD6D71856}" name="Tableau6" displayName="Tableau6" ref="A1:I13" totalsRowShown="0">
  <autoFilter ref="A1:I13" xr:uid="{9D665686-DACE-45CF-AC50-4A0AD6D71856}"/>
  <tableColumns count="9">
    <tableColumn id="1" xr3:uid="{B06BA031-8D6D-4759-836F-12087041AA7B}" name="Facility Name"/>
    <tableColumn id="2" xr3:uid="{A81FC305-973D-4D4E-B8B5-9B5133273E34}" name="Country"/>
    <tableColumn id="3" xr3:uid="{ABD3961E-AE57-4307-98D2-9BB2F56151DF}" name="City"/>
    <tableColumn id="4" xr3:uid="{0207BF5E-162A-4684-BBBA-E1F90CC9617F}" name="Supplier"/>
    <tableColumn id="5" xr3:uid="{B60F2132-D3C0-48AA-8955-C814499140A9}" name="Address"/>
    <tableColumn id="6" xr3:uid="{2CE55C46-B369-409C-9A87-95C7C61AA25F}" name="Type of DC"/>
    <tableColumn id="7" xr3:uid="{E9D77666-AF81-435F-905F-87470E6056D5}" name="Floor Space Utilization" dataDxfId="12"/>
    <tableColumn id="8" xr3:uid="{F576C3F1-8335-48CE-979D-4DDEC092AB24}" name="Colocation Ready"/>
    <tableColumn id="9" xr3:uid="{19A2FF71-9200-4275-94C0-F93899E77571}" name="Note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B37462-3037-4E60-BAB9-218B90B9366F}" name="Tableau4" displayName="Tableau4" ref="A1:K122" totalsRowShown="0">
  <autoFilter ref="A1:K122" xr:uid="{10B37462-3037-4E60-BAB9-218B90B9366F}"/>
  <tableColumns count="11">
    <tableColumn id="1" xr3:uid="{A69F9A1B-C342-43E4-8FFA-80AC83DA28DC}" name="Region"/>
    <tableColumn id="2" xr3:uid="{C8BCBFD5-F126-4E03-A46D-9D670D529F9C}" name="Country"/>
    <tableColumn id="3" xr3:uid="{2F096B43-FACB-40C9-A05E-EF846DEB2DF0}" name="Cluster City"/>
    <tableColumn id="4" xr3:uid="{C4B50253-BCB4-4EED-89E0-FB9D8DC971C2}" name="CityArea"/>
    <tableColumn id="5" xr3:uid="{5BC86E6C-272A-46AC-8B40-6DD8FE997BA0}" name="Supplier"/>
    <tableColumn id="6" xr3:uid="{DA648601-75FB-48D8-A9D4-0BF5D56E883D}" name="DataCenterName"/>
    <tableColumn id="7" xr3:uid="{602A120A-7511-4F52-87E5-2124A87AEA62}" name="SiteCodeOrange"/>
    <tableColumn id="8" xr3:uid="{FEB22E63-56B9-468D-B621-5994982BEC84}" name="Address"/>
    <tableColumn id="9" xr3:uid="{E55B6DE8-1640-4399-843F-CE523F797730}" name="latitude"/>
    <tableColumn id="10" xr3:uid="{11DFD8BE-290B-490F-81CA-8023F2F14F14}" name="longitude"/>
    <tableColumn id="11" xr3:uid="{AC07F2F9-0EC4-4B50-A376-FF26CBCD6B96}" name="PlazzaLink"/>
  </tableColumns>
  <tableStyleInfo name="TableStyleMedium9"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3" Type="http://schemas.openxmlformats.org/officeDocument/2006/relationships/hyperlink" Target="https://orange0.sharepoint.com/sites/OBDCFrance/SitePages/Datacenter-EOLAS-de-Grenoble.aspx" TargetMode="External"/><Relationship Id="rId18" Type="http://schemas.openxmlformats.org/officeDocument/2006/relationships/hyperlink" Target="https://orange0.sharepoint.com/sites/OBDCProximityServicesFieldOperationsRules/SitePages/Equinix-DataCenters-in-Germany.aspx" TargetMode="External"/><Relationship Id="rId26" Type="http://schemas.openxmlformats.org/officeDocument/2006/relationships/hyperlink" Target="https://orange0.sharepoint.com/sites/OBDCProximityServicesFieldOperationsRules/SitePages/Equinix-DataCenters-in-Netherlands.aspx" TargetMode="External"/><Relationship Id="rId3" Type="http://schemas.openxmlformats.org/officeDocument/2006/relationships/hyperlink" Target="https://orange0.sharepoint.com/sites/OBDCProximityServicesFieldOperationsRules/SitePages/Equinix-DataCenters-in-%C3%8Ele-de-France.aspx" TargetMode="External"/><Relationship Id="rId21" Type="http://schemas.openxmlformats.org/officeDocument/2006/relationships/hyperlink" Target="https://orange0.sharepoint.com/sites/OBDCProximityServicesFieldOperationsRules/SitePages/Equinix-DataCenters-in-Germany.aspx" TargetMode="External"/><Relationship Id="rId34" Type="http://schemas.openxmlformats.org/officeDocument/2006/relationships/hyperlink" Target="https://orange0.sharepoint.com/sites/OBDCProximityServicesFieldOperationsRules/SitePages/OB-(Equant)-DataCenters-in-Morocco.aspx" TargetMode="External"/><Relationship Id="rId7" Type="http://schemas.openxmlformats.org/officeDocument/2006/relationships/hyperlink" Target="https://orange0.sharepoint.com/sites/OBDCProximityServicesFieldOperationsRules/SitePages/Equinix-DataCenters-in-%C3%8Ele-de-France.aspx" TargetMode="External"/><Relationship Id="rId12" Type="http://schemas.openxmlformats.org/officeDocument/2006/relationships/hyperlink" Target="https://orange0.sharepoint.com/sites/OBDCProximityServicesFieldOperationsRules/SitePages/Digital-Realty-DataCenters-in-Marseille.aspx" TargetMode="External"/><Relationship Id="rId17" Type="http://schemas.openxmlformats.org/officeDocument/2006/relationships/hyperlink" Target="https://orange0.sharepoint.com/sites/OBDCProximityServicesFieldOperationsRules/SitePages/Equinix-DataCenters-in-Germany.aspx" TargetMode="External"/><Relationship Id="rId25" Type="http://schemas.openxmlformats.org/officeDocument/2006/relationships/hyperlink" Target="https://orange0.sharepoint.com/sites/OBDCProximityServicesFieldOperationsRules/SitePages/Equinix-DataCenters-in-Netherlands.aspx" TargetMode="External"/><Relationship Id="rId33" Type="http://schemas.openxmlformats.org/officeDocument/2006/relationships/hyperlink" Target="https://orange0.sharepoint.com/sites/OBDCProximityServicesFieldOperationsRules/SitePages/OB-(Basefarm)-DataCenters-in-Norway.aspx" TargetMode="External"/><Relationship Id="rId2" Type="http://schemas.openxmlformats.org/officeDocument/2006/relationships/hyperlink" Target="https://orange0.sharepoint.com/sites/OBDCProximityServicesFieldOperationsRules/SitePages/Equinix-DataCenters-in-Germany.aspx" TargetMode="External"/><Relationship Id="rId16" Type="http://schemas.openxmlformats.org/officeDocument/2006/relationships/hyperlink" Target="https://orange0.sharepoint.com/sites/OBDCProximityServicesFieldOperationsRules/SitePages/BrightSolid-DataCenters-in-United-Kingdom.aspx" TargetMode="External"/><Relationship Id="rId20" Type="http://schemas.openxmlformats.org/officeDocument/2006/relationships/hyperlink" Target="https://orange0.sharepoint.com/sites/OBDCProximityServicesFieldOperationsRules/SitePages/Equinix-DataCenters-in-Germany.aspx" TargetMode="External"/><Relationship Id="rId29" Type="http://schemas.openxmlformats.org/officeDocument/2006/relationships/hyperlink" Target="https://orange0.sharepoint.com/sites/OBDCProximityServicesFieldOperationsRules/SitePages/OB-DataCenters-in-Poland.aspx" TargetMode="External"/><Relationship Id="rId1" Type="http://schemas.openxmlformats.org/officeDocument/2006/relationships/hyperlink" Target="https://plazza.orange.com/docs/DOC-857750" TargetMode="External"/><Relationship Id="rId6" Type="http://schemas.openxmlformats.org/officeDocument/2006/relationships/hyperlink" Target="https://orange0.sharepoint.com/sites/OBDCProximityServicesFieldOperationsRules/SitePages/Equinix-DataCenters-in-%C3%8Ele-de-France.aspx" TargetMode="External"/><Relationship Id="rId11" Type="http://schemas.openxmlformats.org/officeDocument/2006/relationships/hyperlink" Target="https://orange0.sharepoint.com/sites/OBDCProximityServicesFieldOperationsRules/SitePages/Digital-Realty-DataCenters-in-Marseille.aspx" TargetMode="External"/><Relationship Id="rId24" Type="http://schemas.openxmlformats.org/officeDocument/2006/relationships/hyperlink" Target="https://orange0.sharepoint.com/sites/OBDCProximityServicesFieldOperationsRules/SitePages/Equinix-DataCenters-in-Netherlands.aspx" TargetMode="External"/><Relationship Id="rId32" Type="http://schemas.openxmlformats.org/officeDocument/2006/relationships/hyperlink" Target="https://orange0.sharepoint.com/sites/OBDCProximityServicesFieldOperationsRules/SitePages/OB-(Basefarm)-DataCenters-in-Norway.aspx" TargetMode="External"/><Relationship Id="rId5" Type="http://schemas.openxmlformats.org/officeDocument/2006/relationships/hyperlink" Target="https://orange0.sharepoint.com/sites/OBDCProximityServicesFieldOperationsRules/SitePages/Equinix-DataCenters-in-%C3%8Ele-de-France.aspx" TargetMode="External"/><Relationship Id="rId15" Type="http://schemas.openxmlformats.org/officeDocument/2006/relationships/hyperlink" Target="https://orange0.sharepoint.com/sites/OBDCProximityServicesFieldOperationsRules/SitePages/Telehouse-DataCenters-in-%C3%8Ele-de-France.aspx" TargetMode="External"/><Relationship Id="rId23" Type="http://schemas.openxmlformats.org/officeDocument/2006/relationships/hyperlink" Target="https://orange0.sharepoint.com/sites/OBDCProximityServicesFieldOperationsRules/SitePages/Equinix-DataCenters-in-Netherlands.aspx" TargetMode="External"/><Relationship Id="rId28" Type="http://schemas.openxmlformats.org/officeDocument/2006/relationships/hyperlink" Target="https://orange0.sharepoint.com/sites/OBDCProximityServicesFieldOperationsRules/SitePages/OB-(Equant)-DataCenters-in-Netherlands.aspx" TargetMode="External"/><Relationship Id="rId36" Type="http://schemas.openxmlformats.org/officeDocument/2006/relationships/table" Target="../tables/table2.xml"/><Relationship Id="rId10" Type="http://schemas.openxmlformats.org/officeDocument/2006/relationships/hyperlink" Target="https://orange0.sharepoint.com/sites/OBDCProximityServicesFieldOperationsRules/SitePages/Digital-Realty-DataCenters-in-%C3%8Ele-de-France.aspx" TargetMode="External"/><Relationship Id="rId19" Type="http://schemas.openxmlformats.org/officeDocument/2006/relationships/hyperlink" Target="https://orange0.sharepoint.com/sites/OBDCProximityServicesFieldOperationsRules/SitePages/Equinix-DataCenters-in-Germany.aspx" TargetMode="External"/><Relationship Id="rId31" Type="http://schemas.openxmlformats.org/officeDocument/2006/relationships/hyperlink" Target="https://orange0.sharepoint.com/sites/OBDCProximityServicesFieldOperationsRules/SitePages/IXcellerate-DataCenters-in-Russia.aspx" TargetMode="External"/><Relationship Id="rId4" Type="http://schemas.openxmlformats.org/officeDocument/2006/relationships/hyperlink" Target="https://orange0.sharepoint.com/sites/OBDCProximityServicesFieldOperationsRules/SitePages/Equinix-DataCenters-in-%C3%8Ele-de-France.aspx" TargetMode="External"/><Relationship Id="rId9" Type="http://schemas.openxmlformats.org/officeDocument/2006/relationships/hyperlink" Target="https://orange0.sharepoint.com/sites/OBDCProximityServicesFieldOperationsRules/SitePages/Digital-Realty-DataCenters-in-%C3%8Ele-de-France.aspx" TargetMode="External"/><Relationship Id="rId14" Type="http://schemas.openxmlformats.org/officeDocument/2006/relationships/hyperlink" Target="https://orange0.sharepoint.com/sites/OBDCProximityServicesFieldOperationsRules/SitePages/Telehouse-DataCenters-in-%C3%8Ele-de-France.aspx" TargetMode="External"/><Relationship Id="rId22" Type="http://schemas.openxmlformats.org/officeDocument/2006/relationships/hyperlink" Target="https://orange0.sharepoint.com/sites/OBDCProximityServicesFieldOperationsRules/SitePages/Equinix-DataCenters-in-Netherlands.aspx" TargetMode="External"/><Relationship Id="rId27" Type="http://schemas.openxmlformats.org/officeDocument/2006/relationships/hyperlink" Target="https://orange0.sharepoint.com/sites/OBDCProximityServicesFieldOperationsRules/SitePages/Equinix-DataCenters-in-Netherlands.aspx" TargetMode="External"/><Relationship Id="rId30" Type="http://schemas.openxmlformats.org/officeDocument/2006/relationships/hyperlink" Target="https://orange0.sharepoint.com/sites/OBDCProximityServicesFieldOperationsRules/SitePages/Digital-Realty-DataCenters-in-Spain.aspx" TargetMode="External"/><Relationship Id="rId35" Type="http://schemas.openxmlformats.org/officeDocument/2006/relationships/printerSettings" Target="../printerSettings/printerSettings1.bin"/><Relationship Id="rId8" Type="http://schemas.openxmlformats.org/officeDocument/2006/relationships/hyperlink" Target="https://orange0.sharepoint.com/sites/OBDCProximityServicesFieldOperationsRules/SitePages/Equinix-DataCenters-in-%C3%8Ele-de-France.aspx"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C0021-DF9E-4CF5-A60C-97AE57D805C0}">
  <sheetPr codeName="Feuil5">
    <tabColor theme="5"/>
  </sheetPr>
  <dimension ref="A1:K500"/>
  <sheetViews>
    <sheetView zoomScale="70" zoomScaleNormal="70" workbookViewId="0">
      <selection activeCell="E2" sqref="E2:E500"/>
    </sheetView>
  </sheetViews>
  <sheetFormatPr baseColWidth="10" defaultColWidth="11.453125" defaultRowHeight="14.5" x14ac:dyDescent="0.35"/>
  <cols>
    <col min="1" max="1" width="15.54296875" bestFit="1" customWidth="1"/>
    <col min="2" max="3" width="18.1796875" bestFit="1" customWidth="1"/>
    <col min="4" max="4" width="27.1796875" bestFit="1" customWidth="1"/>
    <col min="5" max="5" width="9.453125" style="11" customWidth="1"/>
    <col min="6" max="6" width="28.54296875" bestFit="1" customWidth="1"/>
    <col min="7" max="7" width="23.81640625" bestFit="1" customWidth="1"/>
    <col min="8" max="8" width="24.453125" bestFit="1" customWidth="1"/>
    <col min="9" max="10" width="21.54296875" bestFit="1" customWidth="1"/>
    <col min="11" max="11" width="27.81640625" customWidth="1"/>
  </cols>
  <sheetData>
    <row r="1" spans="1:11" x14ac:dyDescent="0.35">
      <c r="A1" t="s">
        <v>0</v>
      </c>
      <c r="B1" t="s">
        <v>1</v>
      </c>
      <c r="C1" t="s">
        <v>2</v>
      </c>
      <c r="D1" t="s">
        <v>3</v>
      </c>
      <c r="E1" s="11" t="s">
        <v>4</v>
      </c>
      <c r="F1" t="s">
        <v>5</v>
      </c>
      <c r="G1" t="s">
        <v>6</v>
      </c>
      <c r="H1" t="s">
        <v>7</v>
      </c>
      <c r="I1" t="s">
        <v>8</v>
      </c>
      <c r="J1" t="s">
        <v>9</v>
      </c>
      <c r="K1" t="s">
        <v>10</v>
      </c>
    </row>
    <row r="2" spans="1:11" x14ac:dyDescent="0.35">
      <c r="A2" t="str">
        <f>IFERROR(Tableau1[[#This Row],[ID Unique]],"")</f>
        <v>CIBUBUE1ARE1</v>
      </c>
      <c r="B2" t="str">
        <f>IFERROR(VLOOKUP($A2,'Consolidate List'!$A$2:$P$1048576,15,FALSE),"")</f>
        <v>-58.46698190000001</v>
      </c>
      <c r="C2">
        <f>IFERROR(VLOOKUP($A2,'Consolidate List'!$A$2:$P$1048576,16,FALSE),"")</f>
        <v>0</v>
      </c>
      <c r="D2" t="str">
        <f>IFERROR(VLOOKUP($A2,'Consolidate List'!$A$2:$P$1048576,8,FALSE),"")</f>
        <v>BUEL01</v>
      </c>
      <c r="F2" t="str">
        <f>IFERROR(VLOOKUP($A2,'Consolidate List'!$A$2:$P$1048576,12,FALSE),"")</f>
        <v>NON</v>
      </c>
      <c r="G2" t="str">
        <f>IFERROR(VLOOKUP($A2,'Consolidate List'!$A$2:$P$1048576,11,FALSE),"")</f>
        <v>3 - Opportunistic not to promote</v>
      </c>
      <c r="H2" t="str">
        <f>IFERROR(VLOOKUP($A2,'Consolidate List'!$A$2:$P$1048576,9,FALSE),"")</f>
        <v>Av. del Campo 1301, Buenos Aires, Argentine</v>
      </c>
      <c r="I2" t="str">
        <f>IFERROR(VLOOKUP($A2,'Consolidate List'!$A$2:$P$1048576,10,FALSE),"")</f>
        <v>BUE1</v>
      </c>
      <c r="J2" t="str">
        <f>IFERROR(_xlfn.CONCAT((VLOOKUP($A2,'Consolidate List'!$A$2:$P$1048576,5,FALSE)),", ",VLOOKUP($A2,'Consolidate List'!$A$2:$P$1048576,6,FALSE)),"")</f>
        <v>Buenos Aires, Buenos Aires</v>
      </c>
      <c r="K2" t="str">
        <f>IFERROR(VLOOKUP($A2,'Consolidate List'!$A$2:$P$1048576,17,FALSE),"")</f>
        <v/>
      </c>
    </row>
    <row r="3" spans="1:11" x14ac:dyDescent="0.35">
      <c r="A3" t="str">
        <f>IFERROR(Tableau1[[#This Row],[ID Unique]],"")</f>
        <v>EQSYNORTAU01</v>
      </c>
      <c r="B3" t="str">
        <f>IFERROR(VLOOKUP($A3,'Consolidate List'!$A$2:$P$1048576,15,FALSE),"")</f>
        <v>151.1317254</v>
      </c>
      <c r="C3">
        <f>IFERROR(VLOOKUP($A3,'Consolidate List'!$A$2:$P$1048576,16,FALSE),"")</f>
        <v>0</v>
      </c>
      <c r="D3" t="str">
        <f>IFERROR(VLOOKUP($A3,'Consolidate List'!$A$2:$P$1048576,8,FALSE),"")</f>
        <v>SYDX01</v>
      </c>
      <c r="F3" t="str">
        <f>IFERROR(VLOOKUP($A3,'Consolidate List'!$A$2:$P$1048576,12,FALSE),"")</f>
        <v>NON</v>
      </c>
      <c r="G3" t="str">
        <f>IFERROR(VLOOKUP($A3,'Consolidate List'!$A$2:$P$1048576,11,FALSE),"")</f>
        <v>5 - Closed</v>
      </c>
      <c r="H3" t="str">
        <f>IFERROR(VLOOKUP($A3,'Consolidate List'!$A$2:$P$1048576,9,FALSE),"")</f>
        <v xml:space="preserve">Unit 8,  5 Talavera Road,  Macquarie Park, NSW, 2113
</v>
      </c>
      <c r="I3" t="str">
        <f>IFERROR(VLOOKUP($A3,'Consolidate List'!$A$2:$P$1048576,10,FALSE),"")</f>
        <v>North Ryde SYDX01</v>
      </c>
      <c r="J3" t="str">
        <f>IFERROR(_xlfn.CONCAT((VLOOKUP($A3,'Consolidate List'!$A$2:$P$1048576,5,FALSE)),", ",VLOOKUP($A3,'Consolidate List'!$A$2:$P$1048576,6,FALSE)),"")</f>
        <v>Sydney, Sydney</v>
      </c>
      <c r="K3" t="str">
        <f>IFERROR(VLOOKUP($A3,'Consolidate List'!$A$2:$P$1048576,17,FALSE),"")</f>
        <v/>
      </c>
    </row>
    <row r="4" spans="1:11" x14ac:dyDescent="0.35">
      <c r="A4" t="str">
        <f>IFERROR(Tableau1[[#This Row],[ID Unique]],"")</f>
        <v>EQSASP4BRP4</v>
      </c>
      <c r="B4" t="str">
        <f>IFERROR(VLOOKUP($A4,'Consolidate List'!$A$2:$P$1048576,15,FALSE),"")</f>
        <v>-46.8094334</v>
      </c>
      <c r="C4" t="str">
        <f>IFERROR(VLOOKUP($A4,'Consolidate List'!$A$2:$P$1048576,16,FALSE),"")</f>
        <v>https://plazza.orange.com/docs/DOC-520558</v>
      </c>
      <c r="D4" t="str">
        <f>IFERROR(VLOOKUP($A4,'Consolidate List'!$A$2:$P$1048576,8,FALSE),"")</f>
        <v>SAOI01</v>
      </c>
      <c r="F4" t="str">
        <f>IFERROR(VLOOKUP($A4,'Consolidate List'!$A$2:$P$1048576,12,FALSE),"")</f>
        <v>OUI</v>
      </c>
      <c r="G4" t="str">
        <f>IFERROR(VLOOKUP($A4,'Consolidate List'!$A$2:$P$1048576,11,FALSE),"")</f>
        <v>2 - Opportunistic</v>
      </c>
      <c r="H4" t="str">
        <f>IFERROR(VLOOKUP($A4,'Consolidate List'!$A$2:$P$1048576,9,FALSE),"")</f>
        <v>Av. Ceci, 1900 - Res. Tambore, Barueri - SP, 06460-120, Brésil</v>
      </c>
      <c r="I4" t="str">
        <f>IFERROR(VLOOKUP($A4,'Consolidate List'!$A$2:$P$1048576,10,FALSE),"")</f>
        <v>SP4</v>
      </c>
      <c r="J4" t="str">
        <f>IFERROR(_xlfn.CONCAT((VLOOKUP($A4,'Consolidate List'!$A$2:$P$1048576,5,FALSE)),", ",VLOOKUP($A4,'Consolidate List'!$A$2:$P$1048576,6,FALSE)),"")</f>
        <v>Sao Paulo, Sao Paulo</v>
      </c>
      <c r="K4" t="str">
        <f>IFERROR(VLOOKUP($A4,'Consolidate List'!$A$2:$P$1048576,17,FALSE),"")</f>
        <v/>
      </c>
    </row>
    <row r="5" spans="1:11" x14ac:dyDescent="0.35">
      <c r="A5" t="str">
        <f>IFERROR(Tableau1[[#This Row],[ID Unique]],"")</f>
        <v>EQRIRJ1BRJ1</v>
      </c>
      <c r="B5" t="str">
        <f>IFERROR(VLOOKUP($A5,'Consolidate List'!$A$2:$P$1048576,15,FALSE),"")</f>
        <v>-43.1945909</v>
      </c>
      <c r="C5" t="str">
        <f>IFERROR(VLOOKUP($A5,'Consolidate List'!$A$2:$P$1048576,16,FALSE),"")</f>
        <v>https://plazza.orange.com/docs/DOC-520558</v>
      </c>
      <c r="D5" t="str">
        <f>IFERROR(VLOOKUP($A5,'Consolidate List'!$A$2:$P$1048576,8,FALSE),"")</f>
        <v>not found on GINI</v>
      </c>
      <c r="F5" t="str">
        <f>IFERROR(VLOOKUP($A5,'Consolidate List'!$A$2:$P$1048576,12,FALSE),"")</f>
        <v>OUI</v>
      </c>
      <c r="G5" t="str">
        <f>IFERROR(VLOOKUP($A5,'Consolidate List'!$A$2:$P$1048576,11,FALSE),"")</f>
        <v>2 - Opportunistic</v>
      </c>
      <c r="H5" t="str">
        <f>IFERROR(VLOOKUP($A5,'Consolidate List'!$A$2:$P$1048576,9,FALSE),"")</f>
        <v>Rua Voluntários da Pátria 360 - Botafogo 22270-010 Rio de Janeiro</v>
      </c>
      <c r="I5" t="str">
        <f>IFERROR(VLOOKUP($A5,'Consolidate List'!$A$2:$P$1048576,10,FALSE),"")</f>
        <v>RJ1</v>
      </c>
      <c r="J5" t="str">
        <f>IFERROR(_xlfn.CONCAT((VLOOKUP($A5,'Consolidate List'!$A$2:$P$1048576,5,FALSE)),", ",VLOOKUP($A5,'Consolidate List'!$A$2:$P$1048576,6,FALSE)),"")</f>
        <v>Rio de Janeiro, Rio de Janeiro</v>
      </c>
      <c r="K5" t="str">
        <f>IFERROR(VLOOKUP($A5,'Consolidate List'!$A$2:$P$1048576,17,FALSE),"")</f>
        <v/>
      </c>
    </row>
    <row r="6" spans="1:11" x14ac:dyDescent="0.35">
      <c r="A6" t="str">
        <f>IFERROR(Tableau1[[#This Row],[ID Unique]],"")</f>
        <v>VOBEVDC-AU02</v>
      </c>
      <c r="B6" t="str">
        <f>IFERROR(VLOOKUP($A6,'Consolidate List'!$A$2:$P$1048576,15,FALSE),"")</f>
        <v>115.8884299</v>
      </c>
      <c r="C6">
        <f>IFERROR(VLOOKUP($A6,'Consolidate List'!$A$2:$P$1048576,16,FALSE),"")</f>
        <v>0</v>
      </c>
      <c r="D6" t="str">
        <f>IFERROR(VLOOKUP($A6,'Consolidate List'!$A$2:$P$1048576,8,FALSE),"")</f>
        <v>not found on GINI</v>
      </c>
      <c r="F6" t="str">
        <f>IFERROR(VLOOKUP($A6,'Consolidate List'!$A$2:$P$1048576,12,FALSE),"")</f>
        <v>NON</v>
      </c>
      <c r="G6" t="str">
        <f>IFERROR(VLOOKUP($A6,'Consolidate List'!$A$2:$P$1048576,11,FALSE),"")</f>
        <v>3 - Opportunistic not to promote</v>
      </c>
      <c r="H6" t="str">
        <f>IFERROR(VLOOKUP($A6,'Consolidate List'!$A$2:$P$1048576,9,FALSE),"")</f>
        <v>Vocus VDC-PER02 Data Centre., 5 Watts Place, Bentley WA 6102, Australia.</v>
      </c>
      <c r="I6" t="str">
        <f>IFERROR(VLOOKUP($A6,'Consolidate List'!$A$2:$P$1048576,10,FALSE),"")</f>
        <v>VDC-PER02</v>
      </c>
      <c r="J6" t="str">
        <f>IFERROR(_xlfn.CONCAT((VLOOKUP($A6,'Consolidate List'!$A$2:$P$1048576,5,FALSE)),", ",VLOOKUP($A6,'Consolidate List'!$A$2:$P$1048576,6,FALSE)),"")</f>
        <v>Perth, Bently</v>
      </c>
      <c r="K6" t="str">
        <f>IFERROR(VLOOKUP($A6,'Consolidate List'!$A$2:$P$1048576,17,FALSE),"")</f>
        <v/>
      </c>
    </row>
    <row r="7" spans="1:11" x14ac:dyDescent="0.35">
      <c r="A7" t="str">
        <f>IFERROR(Tableau1[[#This Row],[ID Unique]],"")</f>
        <v>EQSASP2BRP2</v>
      </c>
      <c r="B7" t="str">
        <f>IFERROR(VLOOKUP($A7,'Consolidate List'!$A$2:$P$1048576,15,FALSE),"")</f>
        <v>-46.8272798</v>
      </c>
      <c r="C7" t="str">
        <f>IFERROR(VLOOKUP($A7,'Consolidate List'!$A$2:$P$1048576,16,FALSE),"")</f>
        <v>https://plazza.orange.com/docs/DOC-520558</v>
      </c>
      <c r="D7" t="str">
        <f>IFERROR(VLOOKUP($A7,'Consolidate List'!$A$2:$P$1048576,8,FALSE),"")</f>
        <v>SAOD04</v>
      </c>
      <c r="F7" t="str">
        <f>IFERROR(VLOOKUP($A7,'Consolidate List'!$A$2:$P$1048576,12,FALSE),"")</f>
        <v>OUI</v>
      </c>
      <c r="G7" t="str">
        <f>IFERROR(VLOOKUP($A7,'Consolidate List'!$A$2:$P$1048576,11,FALSE),"")</f>
        <v>2 - Opportunistic</v>
      </c>
      <c r="H7" t="str">
        <f>IFERROR(VLOOKUP($A7,'Consolidate List'!$A$2:$P$1048576,9,FALSE),"")</f>
        <v>Al. Araguaia 3641 - Tamboré Barueri - SP  CEP: 06455-000</v>
      </c>
      <c r="I7" t="str">
        <f>IFERROR(VLOOKUP($A7,'Consolidate List'!$A$2:$P$1048576,10,FALSE),"")</f>
        <v>SP2</v>
      </c>
      <c r="J7" t="str">
        <f>IFERROR(_xlfn.CONCAT((VLOOKUP($A7,'Consolidate List'!$A$2:$P$1048576,5,FALSE)),", ",VLOOKUP($A7,'Consolidate List'!$A$2:$P$1048576,6,FALSE)),"")</f>
        <v>Sao Paulo, Sao Paulo</v>
      </c>
      <c r="K7" t="str">
        <f>IFERROR(VLOOKUP($A7,'Consolidate List'!$A$2:$P$1048576,17,FALSE),"")</f>
        <v/>
      </c>
    </row>
    <row r="8" spans="1:11" x14ac:dyDescent="0.35">
      <c r="A8" t="str">
        <f>IFERROR(Tableau1[[#This Row],[ID Unique]],"")</f>
        <v>EQSASP3BRP3</v>
      </c>
      <c r="B8" t="str">
        <f>IFERROR(VLOOKUP($A8,'Consolidate List'!$A$2:$P$1048576,15,FALSE),"")</f>
        <v>-46.86328839999999</v>
      </c>
      <c r="C8" t="str">
        <f>IFERROR(VLOOKUP($A8,'Consolidate List'!$A$2:$P$1048576,16,FALSE),"")</f>
        <v>https://plazza.orange.com/docs/DOC-520558</v>
      </c>
      <c r="D8" t="str">
        <f>IFERROR(VLOOKUP($A8,'Consolidate List'!$A$2:$P$1048576,8,FALSE),"")</f>
        <v>GRU01</v>
      </c>
      <c r="F8" t="str">
        <f>IFERROR(VLOOKUP($A8,'Consolidate List'!$A$2:$P$1048576,12,FALSE),"")</f>
        <v>OUI</v>
      </c>
      <c r="G8" t="str">
        <f>IFERROR(VLOOKUP($A8,'Consolidate List'!$A$2:$P$1048576,11,FALSE),"")</f>
        <v>2 - Opportunistic</v>
      </c>
      <c r="H8" t="str">
        <f>IFERROR(VLOOKUP($A8,'Consolidate List'!$A$2:$P$1048576,9,FALSE),"")</f>
        <v xml:space="preserve">Avenida Marcos Penteado de Ulhoa Rodrigues, 249 Santana de Parnaiba/SP CEP: 06543-001 Brazil </v>
      </c>
      <c r="I8" t="str">
        <f>IFERROR(VLOOKUP($A8,'Consolidate List'!$A$2:$P$1048576,10,FALSE),"")</f>
        <v>SP3</v>
      </c>
      <c r="J8" t="str">
        <f>IFERROR(_xlfn.CONCAT((VLOOKUP($A8,'Consolidate List'!$A$2:$P$1048576,5,FALSE)),", ",VLOOKUP($A8,'Consolidate List'!$A$2:$P$1048576,6,FALSE)),"")</f>
        <v>Sao Paulo, Sao Paulo</v>
      </c>
      <c r="K8" t="str">
        <f>IFERROR(VLOOKUP($A8,'Consolidate List'!$A$2:$P$1048576,17,FALSE),"")</f>
        <v/>
      </c>
    </row>
    <row r="9" spans="1:11" x14ac:dyDescent="0.35">
      <c r="A9" t="str">
        <f>IFERROR(Tableau1[[#This Row],[ID Unique]],"")</f>
        <v>ADSAADN COSE</v>
      </c>
      <c r="B9" t="str">
        <f>IFERROR(VLOOKUP($A9,'Consolidate List'!$A$2:$P$1048576,15,FALSE),"")</f>
        <v>-84.1857912</v>
      </c>
      <c r="C9" t="str">
        <f>IFERROR(VLOOKUP($A9,'Consolidate List'!$A$2:$P$1048576,16,FALSE),"")</f>
        <v>To be done</v>
      </c>
      <c r="D9" t="str">
        <f>IFERROR(VLOOKUP($A9,'Consolidate List'!$A$2:$P$1048576,8,FALSE),"")</f>
        <v>SJOL01</v>
      </c>
      <c r="F9" t="str">
        <f>IFERROR(VLOOKUP($A9,'Consolidate List'!$A$2:$P$1048576,12,FALSE),"")</f>
        <v>OUI</v>
      </c>
      <c r="G9" t="str">
        <f>IFERROR(VLOOKUP($A9,'Consolidate List'!$A$2:$P$1048576,11,FALSE),"")</f>
        <v>2 - Opportunistic</v>
      </c>
      <c r="H9" t="str">
        <f>IFERROR(VLOOKUP($A9,'Consolidate List'!$A$2:$P$1048576,9,FALSE),"")</f>
        <v>ADN Datacenters, Zona Franca SARET Edificio B8  Alajuela Costa Rica</v>
      </c>
      <c r="I9" t="str">
        <f>IFERROR(VLOOKUP($A9,'Consolidate List'!$A$2:$P$1048576,10,FALSE),"")</f>
        <v>ADN by UFINET - San Jose</v>
      </c>
      <c r="J9" t="str">
        <f>IFERROR(_xlfn.CONCAT((VLOOKUP($A9,'Consolidate List'!$A$2:$P$1048576,5,FALSE)),", ",VLOOKUP($A9,'Consolidate List'!$A$2:$P$1048576,6,FALSE)),"")</f>
        <v>San Jose, San Jose</v>
      </c>
      <c r="K9" t="str">
        <f>IFERROR(VLOOKUP($A9,'Consolidate List'!$A$2:$P$1048576,17,FALSE),"")</f>
        <v/>
      </c>
    </row>
    <row r="10" spans="1:11" x14ac:dyDescent="0.35">
      <c r="A10" t="str">
        <f>IFERROR(Tableau1[[#This Row],[ID Unique]],"")</f>
        <v>CODADAL3UNL3</v>
      </c>
      <c r="B10" t="str">
        <f>IFERROR(VLOOKUP($A10,'Consolidate List'!$A$2:$P$1048576,15,FALSE),"")</f>
        <v>-96.819412</v>
      </c>
      <c r="C10" t="str">
        <f>IFERROR(VLOOKUP($A10,'Consolidate List'!$A$2:$P$1048576,16,FALSE),"")</f>
        <v>To be done</v>
      </c>
      <c r="D10" t="str">
        <f>IFERROR(VLOOKUP($A10,'Consolidate List'!$A$2:$P$1048576,8,FALSE),"")</f>
        <v>DALL02</v>
      </c>
      <c r="F10" t="str">
        <f>IFERROR(VLOOKUP($A10,'Consolidate List'!$A$2:$P$1048576,12,FALSE),"")</f>
        <v>OUI</v>
      </c>
      <c r="G10" t="str">
        <f>IFERROR(VLOOKUP($A10,'Consolidate List'!$A$2:$P$1048576,11,FALSE),"")</f>
        <v>2 - Opportunistic</v>
      </c>
      <c r="H10" t="str">
        <f>IFERROR(VLOOKUP($A10,'Consolidate List'!$A$2:$P$1048576,9,FALSE),"")</f>
        <v>1950 North Stemmons Freeway, Suites 1039A &amp; 2048, Dallas, Texas, United States of America, 75207</v>
      </c>
      <c r="I10" t="str">
        <f>IFERROR(VLOOKUP($A10,'Consolidate List'!$A$2:$P$1048576,10,FALSE),"")</f>
        <v>DAL3</v>
      </c>
      <c r="J10" t="str">
        <f>IFERROR(_xlfn.CONCAT((VLOOKUP($A10,'Consolidate List'!$A$2:$P$1048576,5,FALSE)),", ",VLOOKUP($A10,'Consolidate List'!$A$2:$P$1048576,6,FALSE)),"")</f>
        <v>Texas, Dallas</v>
      </c>
      <c r="K10" t="str">
        <f>IFERROR(VLOOKUP($A10,'Consolidate List'!$A$2:$P$1048576,17,FALSE),"")</f>
        <v/>
      </c>
    </row>
    <row r="11" spans="1:11" x14ac:dyDescent="0.35">
      <c r="A11" t="str">
        <f>IFERROR(Tableau1[[#This Row],[ID Unique]],"")</f>
        <v>COMOMTL7CAL7</v>
      </c>
      <c r="B11">
        <f>IFERROR(VLOOKUP($A11,'Consolidate List'!$A$2:$P$1048576,15,FALSE),"")</f>
        <v>0</v>
      </c>
      <c r="C11">
        <f>IFERROR(VLOOKUP($A11,'Consolidate List'!$A$2:$P$1048576,16,FALSE),"")</f>
        <v>0</v>
      </c>
      <c r="D11" t="str">
        <f>IFERROR(VLOOKUP($A11,'Consolidate List'!$A$2:$P$1048576,8,FALSE),"")</f>
        <v>n/a</v>
      </c>
      <c r="F11" t="str">
        <f>IFERROR(VLOOKUP($A11,'Consolidate List'!$A$2:$P$1048576,12,FALSE),"")</f>
        <v>OUI</v>
      </c>
      <c r="G11" t="str">
        <f>IFERROR(VLOOKUP($A11,'Consolidate List'!$A$2:$P$1048576,11,FALSE),"")</f>
        <v>2 - Opportunistic</v>
      </c>
      <c r="H11" t="str">
        <f>IFERROR(VLOOKUP($A11,'Consolidate List'!$A$2:$P$1048576,9,FALSE),"")</f>
        <v>1155 Blvd. Robert-Bourassa, Montreal, QC H3B 3A7</v>
      </c>
      <c r="I11" t="str">
        <f>IFERROR(VLOOKUP($A11,'Consolidate List'!$A$2:$P$1048576,10,FALSE),"")</f>
        <v>MTL7</v>
      </c>
      <c r="J11" t="str">
        <f>IFERROR(_xlfn.CONCAT((VLOOKUP($A11,'Consolidate List'!$A$2:$P$1048576,5,FALSE)),", ",VLOOKUP($A11,'Consolidate List'!$A$2:$P$1048576,6,FALSE)),"")</f>
        <v>Ontario, Montreal</v>
      </c>
      <c r="K11" t="str">
        <f>IFERROR(VLOOKUP($A11,'Consolidate List'!$A$2:$P$1048576,17,FALSE),"")</f>
        <v/>
      </c>
    </row>
    <row r="12" spans="1:11" x14ac:dyDescent="0.35">
      <c r="A12" t="str">
        <f>IFERROR(Tableau1[[#This Row],[ID Unique]],"")</f>
        <v>COTOTOR1CAR1</v>
      </c>
      <c r="B12">
        <f>IFERROR(VLOOKUP($A12,'Consolidate List'!$A$2:$P$1048576,15,FALSE),"")</f>
        <v>0</v>
      </c>
      <c r="C12">
        <f>IFERROR(VLOOKUP($A12,'Consolidate List'!$A$2:$P$1048576,16,FALSE),"")</f>
        <v>0</v>
      </c>
      <c r="D12" t="str">
        <f>IFERROR(VLOOKUP($A12,'Consolidate List'!$A$2:$P$1048576,8,FALSE),"")</f>
        <v>n/a</v>
      </c>
      <c r="F12" t="str">
        <f>IFERROR(VLOOKUP($A12,'Consolidate List'!$A$2:$P$1048576,12,FALSE),"")</f>
        <v>OUI</v>
      </c>
      <c r="G12" t="str">
        <f>IFERROR(VLOOKUP($A12,'Consolidate List'!$A$2:$P$1048576,11,FALSE),"")</f>
        <v>2 - Opportunistic</v>
      </c>
      <c r="H12" t="str">
        <f>IFERROR(VLOOKUP($A12,'Consolidate List'!$A$2:$P$1048576,9,FALSE),"")</f>
        <v>151 Front St. W, Toronto, ON M5J 2N1</v>
      </c>
      <c r="I12" t="str">
        <f>IFERROR(VLOOKUP($A12,'Consolidate List'!$A$2:$P$1048576,10,FALSE),"")</f>
        <v>TOR1</v>
      </c>
      <c r="J12" t="str">
        <f>IFERROR(_xlfn.CONCAT((VLOOKUP($A12,'Consolidate List'!$A$2:$P$1048576,5,FALSE)),", ",VLOOKUP($A12,'Consolidate List'!$A$2:$P$1048576,6,FALSE)),"")</f>
        <v>Ontario, Toronto</v>
      </c>
      <c r="K12" t="str">
        <f>IFERROR(VLOOKUP($A12,'Consolidate List'!$A$2:$P$1048576,17,FALSE),"")</f>
        <v/>
      </c>
    </row>
    <row r="13" spans="1:11" x14ac:dyDescent="0.35">
      <c r="A13" t="str">
        <f>IFERROR(Tableau1[[#This Row],[ID Unique]],"")</f>
        <v>MOBRSTUABEDC</v>
      </c>
      <c r="B13" t="str">
        <f>IFERROR(VLOOKUP($A13,'Consolidate List'!$A$2:$P$1048576,15,FALSE),"")</f>
        <v>4.5035326</v>
      </c>
      <c r="C13">
        <f>IFERROR(VLOOKUP($A13,'Consolidate List'!$A$2:$P$1048576,16,FALSE),"")</f>
        <v>0</v>
      </c>
      <c r="D13" t="str">
        <f>IFERROR(VLOOKUP($A13,'Consolidate List'!$A$2:$P$1048576,8,FALSE),"")</f>
        <v>BRUT03</v>
      </c>
      <c r="F13" t="str">
        <f>IFERROR(VLOOKUP($A13,'Consolidate List'!$A$2:$P$1048576,12,FALSE),"")</f>
        <v>NON</v>
      </c>
      <c r="G13" t="str">
        <f>IFERROR(VLOOKUP($A13,'Consolidate List'!$A$2:$P$1048576,11,FALSE),"")</f>
        <v>3 - Opportunistic not to promote</v>
      </c>
      <c r="H13" t="str">
        <f>IFERROR(VLOOKUP($A13,'Consolidate List'!$A$2:$P$1048576,9,FALSE),"")</f>
        <v xml:space="preserve">Mobistar Datacenter Nossegem
Leuvensesteenweg 641,1930 Zaventem, Belgium
</v>
      </c>
      <c r="I13" t="str">
        <f>IFERROR(VLOOKUP($A13,'Consolidate List'!$A$2:$P$1048576,10,FALSE),"")</f>
        <v>Stuart DC</v>
      </c>
      <c r="J13" t="str">
        <f>IFERROR(_xlfn.CONCAT((VLOOKUP($A13,'Consolidate List'!$A$2:$P$1048576,5,FALSE)),", ",VLOOKUP($A13,'Consolidate List'!$A$2:$P$1048576,6,FALSE)),"")</f>
        <v>Brussel, Brussel</v>
      </c>
      <c r="K13" t="str">
        <f>IFERROR(VLOOKUP($A13,'Consolidate List'!$A$2:$P$1048576,17,FALSE),"")</f>
        <v/>
      </c>
    </row>
    <row r="14" spans="1:11" x14ac:dyDescent="0.35">
      <c r="A14" t="str">
        <f>IFERROR(Tableau1[[#This Row],[ID Unique]],"")</f>
        <v>EQATAT1UNT1</v>
      </c>
      <c r="B14" t="str">
        <f>IFERROR(VLOOKUP($A14,'Consolidate List'!$A$2:$P$1048576,15,FALSE),"")</f>
        <v>-84.3877746</v>
      </c>
      <c r="C14" t="str">
        <f>IFERROR(VLOOKUP($A14,'Consolidate List'!$A$2:$P$1048576,16,FALSE),"")</f>
        <v>https://plazza.orange.com/docs/DOC-759493</v>
      </c>
      <c r="D14" t="str">
        <f>IFERROR(VLOOKUP($A14,'Consolidate List'!$A$2:$P$1048576,8,FALSE),"")</f>
        <v>ATLL03</v>
      </c>
      <c r="F14" t="str">
        <f>IFERROR(VLOOKUP($A14,'Consolidate List'!$A$2:$P$1048576,12,FALSE),"")</f>
        <v>OUI</v>
      </c>
      <c r="G14" t="str">
        <f>IFERROR(VLOOKUP($A14,'Consolidate List'!$A$2:$P$1048576,11,FALSE),"")</f>
        <v>2 - Opportunistic</v>
      </c>
      <c r="H14" t="str">
        <f>IFERROR(VLOOKUP($A14,'Consolidate List'!$A$2:$P$1048576,9,FALSE),"")</f>
        <v>180 Peachtree Street NW, 2nd and 6th Floors, Atlanta, Georgia, United States of America, 30303</v>
      </c>
      <c r="I14" t="str">
        <f>IFERROR(VLOOKUP($A14,'Consolidate List'!$A$2:$P$1048576,10,FALSE),"")</f>
        <v>AT1</v>
      </c>
      <c r="J14" t="str">
        <f>IFERROR(_xlfn.CONCAT((VLOOKUP($A14,'Consolidate List'!$A$2:$P$1048576,5,FALSE)),", ",VLOOKUP($A14,'Consolidate List'!$A$2:$P$1048576,6,FALSE)),"")</f>
        <v>Georgia, Atlanta</v>
      </c>
      <c r="K14" t="str">
        <f>IFERROR(VLOOKUP($A14,'Consolidate List'!$A$2:$P$1048576,17,FALSE),"")</f>
        <v/>
      </c>
    </row>
    <row r="15" spans="1:11" x14ac:dyDescent="0.35">
      <c r="A15" t="str">
        <f>IFERROR(Tableau1[[#This Row],[ID Unique]],"")</f>
        <v>CISASAO1BRO1</v>
      </c>
      <c r="B15" t="str">
        <f>IFERROR(VLOOKUP($A15,'Consolidate List'!$A$2:$P$1048576,15,FALSE),"")</f>
        <v>-46.848808</v>
      </c>
      <c r="C15">
        <f>IFERROR(VLOOKUP($A15,'Consolidate List'!$A$2:$P$1048576,16,FALSE),"")</f>
        <v>0</v>
      </c>
      <c r="D15" t="str">
        <f>IFERROR(VLOOKUP($A15,'Consolidate List'!$A$2:$P$1048576,8,FALSE),"")</f>
        <v>SAOL01</v>
      </c>
      <c r="F15" t="str">
        <f>IFERROR(VLOOKUP($A15,'Consolidate List'!$A$2:$P$1048576,12,FALSE),"")</f>
        <v>NON</v>
      </c>
      <c r="G15" t="str">
        <f>IFERROR(VLOOKUP($A15,'Consolidate List'!$A$2:$P$1048576,11,FALSE),"")</f>
        <v>3 - Opportunistic not to promote</v>
      </c>
      <c r="H15" t="str">
        <f>IFERROR(VLOOKUP($A15,'Consolidate List'!$A$2:$P$1048576,9,FALSE),"")</f>
        <v>Av. Eid Mansur, 666 - Parque São Jorge, Cotia - SP, 06708-070, Brésil</v>
      </c>
      <c r="I15" t="str">
        <f>IFERROR(VLOOKUP($A15,'Consolidate List'!$A$2:$P$1048576,10,FALSE),"")</f>
        <v>SAO1</v>
      </c>
      <c r="J15" t="str">
        <f>IFERROR(_xlfn.CONCAT((VLOOKUP($A15,'Consolidate List'!$A$2:$P$1048576,5,FALSE)),", ",VLOOKUP($A15,'Consolidate List'!$A$2:$P$1048576,6,FALSE)),"")</f>
        <v>Sao Paulo, Sao Paulo</v>
      </c>
      <c r="K15" t="str">
        <f>IFERROR(VLOOKUP($A15,'Consolidate List'!$A$2:$P$1048576,17,FALSE),"")</f>
        <v/>
      </c>
    </row>
    <row r="16" spans="1:11" x14ac:dyDescent="0.35">
      <c r="A16" t="str">
        <f>IFERROR(Tableau1[[#This Row],[ID Unique]],"")</f>
        <v>EMRIEMBRBRIO</v>
      </c>
      <c r="B16" t="str">
        <f>IFERROR(VLOOKUP($A16,'Consolidate List'!$A$2:$P$1048576,15,FALSE),"")</f>
        <v>-43.188142</v>
      </c>
      <c r="C16">
        <f>IFERROR(VLOOKUP($A16,'Consolidate List'!$A$2:$P$1048576,16,FALSE),"")</f>
        <v>0</v>
      </c>
      <c r="D16" t="str">
        <f>IFERROR(VLOOKUP($A16,'Consolidate List'!$A$2:$P$1048576,8,FALSE),"")</f>
        <v>RIOL02</v>
      </c>
      <c r="F16" t="str">
        <f>IFERROR(VLOOKUP($A16,'Consolidate List'!$A$2:$P$1048576,12,FALSE),"")</f>
        <v>NON</v>
      </c>
      <c r="G16" t="str">
        <f>IFERROR(VLOOKUP($A16,'Consolidate List'!$A$2:$P$1048576,11,FALSE),"")</f>
        <v>3 - Opportunistic not to promote</v>
      </c>
      <c r="H16" t="str">
        <f>IFERROR(VLOOKUP($A16,'Consolidate List'!$A$2:$P$1048576,9,FALSE),"")</f>
        <v>119 Rua Senador Pompeu, Rio de Janeiro, 20221-291, Brazil</v>
      </c>
      <c r="I16" t="str">
        <f>IFERROR(VLOOKUP($A16,'Consolidate List'!$A$2:$P$1048576,10,FALSE),"")</f>
        <v>Embratel - Rio</v>
      </c>
      <c r="J16" t="str">
        <f>IFERROR(_xlfn.CONCAT((VLOOKUP($A16,'Consolidate List'!$A$2:$P$1048576,5,FALSE)),", ",VLOOKUP($A16,'Consolidate List'!$A$2:$P$1048576,6,FALSE)),"")</f>
        <v>Rio de Janeiro, Rio de Janeiro</v>
      </c>
      <c r="K16" t="str">
        <f>IFERROR(VLOOKUP($A16,'Consolidate List'!$A$2:$P$1048576,17,FALSE),"")</f>
        <v/>
      </c>
    </row>
    <row r="17" spans="1:11" x14ac:dyDescent="0.35">
      <c r="A17" t="str">
        <f>IFERROR(Tableau1[[#This Row],[ID Unique]],"")</f>
        <v>EQCHCH1UNH1</v>
      </c>
      <c r="B17" t="str">
        <f>IFERROR(VLOOKUP($A17,'Consolidate List'!$A$2:$P$1048576,15,FALSE),"")</f>
        <v>-87.6183281</v>
      </c>
      <c r="C17" t="str">
        <f>IFERROR(VLOOKUP($A17,'Consolidate List'!$A$2:$P$1048576,16,FALSE),"")</f>
        <v>https://plazza.orange.com/docs/DOC-759493</v>
      </c>
      <c r="D17" t="str">
        <f>IFERROR(VLOOKUP($A17,'Consolidate List'!$A$2:$P$1048576,8,FALSE),"")</f>
        <v>CHIL02</v>
      </c>
      <c r="F17" t="str">
        <f>IFERROR(VLOOKUP($A17,'Consolidate List'!$A$2:$P$1048576,12,FALSE),"")</f>
        <v>OUI</v>
      </c>
      <c r="G17" t="str">
        <f>IFERROR(VLOOKUP($A17,'Consolidate List'!$A$2:$P$1048576,11,FALSE),"")</f>
        <v>2 - Opportunistic</v>
      </c>
      <c r="H17" t="str">
        <f>IFERROR(VLOOKUP($A17,'Consolidate List'!$A$2:$P$1048576,9,FALSE),"")</f>
        <v>350 E Cermak Rd, 6th Floor, Chicago, Illinois, United States of America, 60616</v>
      </c>
      <c r="I17" t="str">
        <f>IFERROR(VLOOKUP($A17,'Consolidate List'!$A$2:$P$1048576,10,FALSE),"")</f>
        <v>CH1</v>
      </c>
      <c r="J17" t="str">
        <f>IFERROR(_xlfn.CONCAT((VLOOKUP($A17,'Consolidate List'!$A$2:$P$1048576,5,FALSE)),", ",VLOOKUP($A17,'Consolidate List'!$A$2:$P$1048576,6,FALSE)),"")</f>
        <v>Illinois, Chicago</v>
      </c>
      <c r="K17" t="str">
        <f>IFERROR(VLOOKUP($A17,'Consolidate List'!$A$2:$P$1048576,17,FALSE),"")</f>
        <v/>
      </c>
    </row>
    <row r="18" spans="1:11" x14ac:dyDescent="0.35">
      <c r="A18" t="str">
        <f>IFERROR(Tableau1[[#This Row],[ID Unique]],"")</f>
        <v>SYSASYDEBRLO</v>
      </c>
      <c r="B18" t="str">
        <f>IFERROR(VLOOKUP($A18,'Consolidate List'!$A$2:$P$1048576,15,FALSE),"")</f>
        <v>-46.705799</v>
      </c>
      <c r="C18">
        <f>IFERROR(VLOOKUP($A18,'Consolidate List'!$A$2:$P$1048576,16,FALSE),"")</f>
        <v>0</v>
      </c>
      <c r="D18" t="str">
        <f>IFERROR(VLOOKUP($A18,'Consolidate List'!$A$2:$P$1048576,8,FALSE),"")</f>
        <v>not found on GINI</v>
      </c>
      <c r="F18" t="str">
        <f>IFERROR(VLOOKUP($A18,'Consolidate List'!$A$2:$P$1048576,12,FALSE),"")</f>
        <v>NON</v>
      </c>
      <c r="G18" t="str">
        <f>IFERROR(VLOOKUP($A18,'Consolidate List'!$A$2:$P$1048576,11,FALSE),"")</f>
        <v>5 - Closed</v>
      </c>
      <c r="H18" t="str">
        <f>IFERROR(VLOOKUP($A18,'Consolidate List'!$A$2:$P$1048576,9,FALSE),"")</f>
        <v>Av. Adolfo Pinheiro, 1.000, Cj 51/53 • Alto da Boa Vista • CEP 04734-002 • São Paulo - SP</v>
      </c>
      <c r="I18" t="str">
        <f>IFERROR(VLOOKUP($A18,'Consolidate List'!$A$2:$P$1048576,10,FALSE),"")</f>
        <v>Sydel Sao paulo</v>
      </c>
      <c r="J18" t="str">
        <f>IFERROR(_xlfn.CONCAT((VLOOKUP($A18,'Consolidate List'!$A$2:$P$1048576,5,FALSE)),", ",VLOOKUP($A18,'Consolidate List'!$A$2:$P$1048576,6,FALSE)),"")</f>
        <v>Sao Paulo, Sao Paulo</v>
      </c>
      <c r="K18" t="str">
        <f>IFERROR(VLOOKUP($A18,'Consolidate List'!$A$2:$P$1048576,17,FALSE),"")</f>
        <v/>
      </c>
    </row>
    <row r="19" spans="1:11" x14ac:dyDescent="0.35">
      <c r="A19" t="str">
        <f>IFERROR(Tableau1[[#This Row],[ID Unique]],"")</f>
        <v>EQCHCH2UNH2</v>
      </c>
      <c r="B19" t="str">
        <f>IFERROR(VLOOKUP($A19,'Consolidate List'!$A$2:$P$1048576,15,FALSE),"")</f>
        <v>-87.6183281</v>
      </c>
      <c r="C19" t="str">
        <f>IFERROR(VLOOKUP($A19,'Consolidate List'!$A$2:$P$1048576,16,FALSE),"")</f>
        <v>https://plazza.orange.com/docs/DOC-759493</v>
      </c>
      <c r="D19" t="str">
        <f>IFERROR(VLOOKUP($A19,'Consolidate List'!$A$2:$P$1048576,8,FALSE),"")</f>
        <v>CHID03</v>
      </c>
      <c r="F19" t="str">
        <f>IFERROR(VLOOKUP($A19,'Consolidate List'!$A$2:$P$1048576,12,FALSE),"")</f>
        <v>OUI</v>
      </c>
      <c r="G19" t="str">
        <f>IFERROR(VLOOKUP($A19,'Consolidate List'!$A$2:$P$1048576,11,FALSE),"")</f>
        <v>2 - Opportunistic</v>
      </c>
      <c r="H19" t="str">
        <f>IFERROR(VLOOKUP($A19,'Consolidate List'!$A$2:$P$1048576,9,FALSE),"")</f>
        <v>350 E Cermak Rd, 5th Floor, Chicago, Illinois, United States of America, 60616</v>
      </c>
      <c r="I19" t="str">
        <f>IFERROR(VLOOKUP($A19,'Consolidate List'!$A$2:$P$1048576,10,FALSE),"")</f>
        <v>CH2</v>
      </c>
      <c r="J19" t="str">
        <f>IFERROR(_xlfn.CONCAT((VLOOKUP($A19,'Consolidate List'!$A$2:$P$1048576,5,FALSE)),", ",VLOOKUP($A19,'Consolidate List'!$A$2:$P$1048576,6,FALSE)),"")</f>
        <v>Illinois, Chicago</v>
      </c>
      <c r="K19" t="str">
        <f>IFERROR(VLOOKUP($A19,'Consolidate List'!$A$2:$P$1048576,17,FALSE),"")</f>
        <v/>
      </c>
    </row>
    <row r="20" spans="1:11" x14ac:dyDescent="0.35">
      <c r="A20" t="str">
        <f>IFERROR(Tableau1[[#This Row],[ID Unique]],"")</f>
        <v>TESATELEBRLO</v>
      </c>
      <c r="B20" t="str">
        <f>IFERROR(VLOOKUP($A20,'Consolidate List'!$A$2:$P$1048576,15,FALSE),"")</f>
        <v>-46.8251239</v>
      </c>
      <c r="C20">
        <f>IFERROR(VLOOKUP($A20,'Consolidate List'!$A$2:$P$1048576,16,FALSE),"")</f>
        <v>0</v>
      </c>
      <c r="D20" t="str">
        <f>IFERROR(VLOOKUP($A20,'Consolidate List'!$A$2:$P$1048576,8,FALSE),"")</f>
        <v>SAOD01 / SAOD02</v>
      </c>
      <c r="F20" t="str">
        <f>IFERROR(VLOOKUP($A20,'Consolidate List'!$A$2:$P$1048576,12,FALSE),"")</f>
        <v>NON</v>
      </c>
      <c r="G20" t="str">
        <f>IFERROR(VLOOKUP($A20,'Consolidate List'!$A$2:$P$1048576,11,FALSE),"")</f>
        <v>5 - Closed</v>
      </c>
      <c r="H20" t="str">
        <f>IFERROR(VLOOKUP($A20,'Consolidate List'!$A$2:$P$1048576,9,FALSE),"")</f>
        <v>The Tamboré II Data Center / Alameda Araguacema, 187 - Barueri - SP / CEP 0646  / SP SÃO PAULO / BRAZIL</v>
      </c>
      <c r="I20" t="str">
        <f>IFERROR(VLOOKUP($A20,'Consolidate List'!$A$2:$P$1048576,10,FALSE),"")</f>
        <v>Telefonica Sao Paulo</v>
      </c>
      <c r="J20" t="str">
        <f>IFERROR(_xlfn.CONCAT((VLOOKUP($A20,'Consolidate List'!$A$2:$P$1048576,5,FALSE)),", ",VLOOKUP($A20,'Consolidate List'!$A$2:$P$1048576,6,FALSE)),"")</f>
        <v>Sao Paulo, Sao Paulo</v>
      </c>
      <c r="K20" t="str">
        <f>IFERROR(VLOOKUP($A20,'Consolidate List'!$A$2:$P$1048576,17,FALSE),"")</f>
        <v/>
      </c>
    </row>
    <row r="21" spans="1:11" x14ac:dyDescent="0.35">
      <c r="A21" t="str">
        <f>IFERROR(Tableau1[[#This Row],[ID Unique]],"")</f>
        <v>EQCHCH4UNH4</v>
      </c>
      <c r="B21" t="str">
        <f>IFERROR(VLOOKUP($A21,'Consolidate List'!$A$2:$P$1048576,15,FALSE),"")</f>
        <v>-87.6183281</v>
      </c>
      <c r="C21" t="str">
        <f>IFERROR(VLOOKUP($A21,'Consolidate List'!$A$2:$P$1048576,16,FALSE),"")</f>
        <v>https://plazza.orange.com/docs/DOC-759493</v>
      </c>
      <c r="D21" t="str">
        <f>IFERROR(VLOOKUP($A21,'Consolidate List'!$A$2:$P$1048576,8,FALSE),"")</f>
        <v>CHIF03</v>
      </c>
      <c r="F21" t="str">
        <f>IFERROR(VLOOKUP($A21,'Consolidate List'!$A$2:$P$1048576,12,FALSE),"")</f>
        <v>OUI</v>
      </c>
      <c r="G21" t="str">
        <f>IFERROR(VLOOKUP($A21,'Consolidate List'!$A$2:$P$1048576,11,FALSE),"")</f>
        <v>2 - Opportunistic</v>
      </c>
      <c r="H21" t="str">
        <f>IFERROR(VLOOKUP($A21,'Consolidate List'!$A$2:$P$1048576,9,FALSE),"")</f>
        <v>350 E Cermak Rd, 8th Floor, Chicago, Illinois, United States of America, 60616</v>
      </c>
      <c r="I21" t="str">
        <f>IFERROR(VLOOKUP($A21,'Consolidate List'!$A$2:$P$1048576,10,FALSE),"")</f>
        <v>CH4</v>
      </c>
      <c r="J21" t="str">
        <f>IFERROR(_xlfn.CONCAT((VLOOKUP($A21,'Consolidate List'!$A$2:$P$1048576,5,FALSE)),", ",VLOOKUP($A21,'Consolidate List'!$A$2:$P$1048576,6,FALSE)),"")</f>
        <v>Illinois, Chicago</v>
      </c>
      <c r="K21" t="str">
        <f>IFERROR(VLOOKUP($A21,'Consolidate List'!$A$2:$P$1048576,17,FALSE),"")</f>
        <v/>
      </c>
    </row>
    <row r="22" spans="1:11" x14ac:dyDescent="0.35">
      <c r="A22" t="str">
        <f>IFERROR(Tableau1[[#This Row],[ID Unique]],"")</f>
        <v>IISAIIA CHGO</v>
      </c>
      <c r="B22" t="str">
        <f>IFERROR(VLOOKUP($A22,'Consolidate List'!$A$2:$P$1048576,15,FALSE),"")</f>
        <v>-70.632856</v>
      </c>
      <c r="C22">
        <f>IFERROR(VLOOKUP($A22,'Consolidate List'!$A$2:$P$1048576,16,FALSE),"")</f>
        <v>0</v>
      </c>
      <c r="D22" t="str">
        <f>IFERROR(VLOOKUP($A22,'Consolidate List'!$A$2:$P$1048576,8,FALSE),"")</f>
        <v>SCLC02</v>
      </c>
      <c r="F22" t="str">
        <f>IFERROR(VLOOKUP($A22,'Consolidate List'!$A$2:$P$1048576,12,FALSE),"")</f>
        <v>NON</v>
      </c>
      <c r="G22" t="str">
        <f>IFERROR(VLOOKUP($A22,'Consolidate List'!$A$2:$P$1048576,11,FALSE),"")</f>
        <v>3 - Opportunistic not to promote</v>
      </c>
      <c r="H22" t="str">
        <f>IFERROR(VLOOKUP($A22,'Consolidate List'!$A$2:$P$1048576,9,FALSE),"")</f>
        <v>Porvenir 245, Santiago</v>
      </c>
      <c r="I22" t="str">
        <f>IFERROR(VLOOKUP($A22,'Consolidate List'!$A$2:$P$1048576,10,FALSE),"")</f>
        <v>IIA - Santiago</v>
      </c>
      <c r="J22" t="str">
        <f>IFERROR(_xlfn.CONCAT((VLOOKUP($A22,'Consolidate List'!$A$2:$P$1048576,5,FALSE)),", ",VLOOKUP($A22,'Consolidate List'!$A$2:$P$1048576,6,FALSE)),"")</f>
        <v>Santiago, Santiago</v>
      </c>
      <c r="K22" t="str">
        <f>IFERROR(VLOOKUP($A22,'Consolidate List'!$A$2:$P$1048576,17,FALSE),"")</f>
        <v/>
      </c>
    </row>
    <row r="23" spans="1:11" x14ac:dyDescent="0.35">
      <c r="A23" t="str">
        <f>IFERROR(Tableau1[[#This Row],[ID Unique]],"")</f>
        <v>EQCUCU2UNU2</v>
      </c>
      <c r="B23" t="str">
        <f>IFERROR(VLOOKUP($A23,'Consolidate List'!$A$2:$P$1048576,15,FALSE),"")</f>
        <v>-77.9780767</v>
      </c>
      <c r="C23" t="str">
        <f>IFERROR(VLOOKUP($A23,'Consolidate List'!$A$2:$P$1048576,16,FALSE),"")</f>
        <v>https://plazza.orange.com/docs/DOC-759493</v>
      </c>
      <c r="D23" t="str">
        <f>IFERROR(VLOOKUP($A23,'Consolidate List'!$A$2:$P$1048576,8,FALSE),"")</f>
        <v>not found on GINI</v>
      </c>
      <c r="F23" t="str">
        <f>IFERROR(VLOOKUP($A23,'Consolidate List'!$A$2:$P$1048576,12,FALSE),"")</f>
        <v>OUI</v>
      </c>
      <c r="G23" t="str">
        <f>IFERROR(VLOOKUP($A23,'Consolidate List'!$A$2:$P$1048576,11,FALSE),"")</f>
        <v>2 - Opportunistic</v>
      </c>
      <c r="H23" t="str">
        <f>IFERROR(VLOOKUP($A23,'Consolidate List'!$A$2:$P$1048576,9,FALSE),"")</f>
        <v>18155 Technology Drive, Building B, Culpeper, VA, United States of America, 22701</v>
      </c>
      <c r="I23" t="str">
        <f>IFERROR(VLOOKUP($A23,'Consolidate List'!$A$2:$P$1048576,10,FALSE),"")</f>
        <v>CU2</v>
      </c>
      <c r="J23" t="str">
        <f>IFERROR(_xlfn.CONCAT((VLOOKUP($A23,'Consolidate List'!$A$2:$P$1048576,5,FALSE)),", ",VLOOKUP($A23,'Consolidate List'!$A$2:$P$1048576,6,FALSE)),"")</f>
        <v>Virginia, Culpeper</v>
      </c>
      <c r="K23" t="str">
        <f>IFERROR(VLOOKUP($A23,'Consolidate List'!$A$2:$P$1048576,17,FALSE),"")</f>
        <v/>
      </c>
    </row>
    <row r="24" spans="1:11" x14ac:dyDescent="0.35">
      <c r="A24" t="str">
        <f>IFERROR(Tableau1[[#This Row],[ID Unique]],"")</f>
        <v>DRBEDR. CHNG</v>
      </c>
      <c r="B24" t="str">
        <f>IFERROR(VLOOKUP($A24,'Consolidate List'!$A$2:$P$1048576,15,FALSE),"")</f>
        <v>116.5</v>
      </c>
      <c r="C24">
        <f>IFERROR(VLOOKUP($A24,'Consolidate List'!$A$2:$P$1048576,16,FALSE),"")</f>
        <v>0</v>
      </c>
      <c r="D24" t="str">
        <f>IFERROR(VLOOKUP($A24,'Consolidate List'!$A$2:$P$1048576,8,FALSE),"")</f>
        <v>not found on GINI</v>
      </c>
      <c r="F24" t="str">
        <f>IFERROR(VLOOKUP($A24,'Consolidate List'!$A$2:$P$1048576,12,FALSE),"")</f>
        <v>NON</v>
      </c>
      <c r="G24" t="str">
        <f>IFERROR(VLOOKUP($A24,'Consolidate List'!$A$2:$P$1048576,11,FALSE),"")</f>
        <v>5 - Closed</v>
      </c>
      <c r="H24" t="str">
        <f>IFERROR(VLOOKUP($A24,'Consolidate List'!$A$2:$P$1048576,9,FALSE),"")</f>
        <v>No. 9 Jiuxianqiao North Road, Chaoyang District</v>
      </c>
      <c r="I24" t="str">
        <f>IFERROR(VLOOKUP($A24,'Consolidate List'!$A$2:$P$1048576,10,FALSE),"")</f>
        <v>Dr. Peng</v>
      </c>
      <c r="J24" t="str">
        <f>IFERROR(_xlfn.CONCAT((VLOOKUP($A24,'Consolidate List'!$A$2:$P$1048576,5,FALSE)),", ",VLOOKUP($A24,'Consolidate List'!$A$2:$P$1048576,6,FALSE)),"")</f>
        <v>Beijing, Beijing</v>
      </c>
      <c r="K24" t="str">
        <f>IFERROR(VLOOKUP($A24,'Consolidate List'!$A$2:$P$1048576,17,FALSE),"")</f>
        <v/>
      </c>
    </row>
    <row r="25" spans="1:11" x14ac:dyDescent="0.35">
      <c r="A25" t="str">
        <f>IFERROR(Tableau1[[#This Row],[ID Unique]],"")</f>
        <v>EQDADA3UNA3</v>
      </c>
      <c r="B25" t="str">
        <f>IFERROR(VLOOKUP($A25,'Consolidate List'!$A$2:$P$1048576,15,FALSE),"")</f>
        <v>-96.8191899</v>
      </c>
      <c r="C25" t="str">
        <f>IFERROR(VLOOKUP($A25,'Consolidate List'!$A$2:$P$1048576,16,FALSE),"")</f>
        <v>https://plazza.orange.com/docs/DOC-759493</v>
      </c>
      <c r="D25" t="str">
        <f>IFERROR(VLOOKUP($A25,'Consolidate List'!$A$2:$P$1048576,8,FALSE),"")</f>
        <v>not found on GINI</v>
      </c>
      <c r="F25" t="str">
        <f>IFERROR(VLOOKUP($A25,'Consolidate List'!$A$2:$P$1048576,12,FALSE),"")</f>
        <v>OUI</v>
      </c>
      <c r="G25" t="str">
        <f>IFERROR(VLOOKUP($A25,'Consolidate List'!$A$2:$P$1048576,11,FALSE),"")</f>
        <v>2 - Opportunistic</v>
      </c>
      <c r="H25" t="str">
        <f>IFERROR(VLOOKUP($A25,'Consolidate List'!$A$2:$P$1048576,9,FALSE),"")</f>
        <v xml:space="preserve"> 1950 North Stemmons Freeway, Dallas, Texas, United States of America, 75207</v>
      </c>
      <c r="I25" t="str">
        <f>IFERROR(VLOOKUP($A25,'Consolidate List'!$A$2:$P$1048576,10,FALSE),"")</f>
        <v>DA3</v>
      </c>
      <c r="J25" t="str">
        <f>IFERROR(_xlfn.CONCAT((VLOOKUP($A25,'Consolidate List'!$A$2:$P$1048576,5,FALSE)),", ",VLOOKUP($A25,'Consolidate List'!$A$2:$P$1048576,6,FALSE)),"")</f>
        <v>Texas, Dallas</v>
      </c>
      <c r="K25" t="str">
        <f>IFERROR(VLOOKUP($A25,'Consolidate List'!$A$2:$P$1048576,17,FALSE),"")</f>
        <v/>
      </c>
    </row>
    <row r="26" spans="1:11" x14ac:dyDescent="0.35">
      <c r="A26" t="str">
        <f>IFERROR(Tableau1[[#This Row],[ID Unique]],"")</f>
        <v>NTTANTT CHPO</v>
      </c>
      <c r="B26" t="str">
        <f>IFERROR(VLOOKUP($A26,'Consolidate List'!$A$2:$P$1048576,15,FALSE),"")</f>
        <v>114.1871295</v>
      </c>
      <c r="C26">
        <f>IFERROR(VLOOKUP($A26,'Consolidate List'!$A$2:$P$1048576,16,FALSE),"")</f>
        <v>0</v>
      </c>
      <c r="D26" t="str">
        <f>IFERROR(VLOOKUP($A26,'Consolidate List'!$A$2:$P$1048576,8,FALSE),"")</f>
        <v>HKGD02</v>
      </c>
      <c r="F26" t="str">
        <f>IFERROR(VLOOKUP($A26,'Consolidate List'!$A$2:$P$1048576,12,FALSE),"")</f>
        <v>NON</v>
      </c>
      <c r="G26" t="str">
        <f>IFERROR(VLOOKUP($A26,'Consolidate List'!$A$2:$P$1048576,11,FALSE),"")</f>
        <v>5 - Closed</v>
      </c>
      <c r="H26" t="str">
        <f>IFERROR(VLOOKUP($A26,'Consolidate List'!$A$2:$P$1048576,9,FALSE),"")</f>
        <v xml:space="preserve">2 Dai Hei Street,
Tai Po Industrial Park,         Tai Po, N.T.,
Hong Kong
</v>
      </c>
      <c r="I26" t="str">
        <f>IFERROR(VLOOKUP($A26,'Consolidate List'!$A$2:$P$1048576,10,FALSE),"")</f>
        <v>NTT Tai Po</v>
      </c>
      <c r="J26" t="str">
        <f>IFERROR(_xlfn.CONCAT((VLOOKUP($A26,'Consolidate List'!$A$2:$P$1048576,5,FALSE)),", ",VLOOKUP($A26,'Consolidate List'!$A$2:$P$1048576,6,FALSE)),"")</f>
        <v>Hong Kong, Tai Po</v>
      </c>
      <c r="K26" t="str">
        <f>IFERROR(VLOOKUP($A26,'Consolidate List'!$A$2:$P$1048576,17,FALSE),"")</f>
        <v/>
      </c>
    </row>
    <row r="27" spans="1:11" x14ac:dyDescent="0.35">
      <c r="A27" t="str">
        <f>IFERROR(Tableau1[[#This Row],[ID Unique]],"")</f>
        <v>EQASDC10UN10</v>
      </c>
      <c r="B27">
        <f>IFERROR(VLOOKUP($A27,'Consolidate List'!$A$2:$P$1048576,15,FALSE),"")</f>
        <v>0</v>
      </c>
      <c r="C27">
        <f>IFERROR(VLOOKUP($A27,'Consolidate List'!$A$2:$P$1048576,16,FALSE),"")</f>
        <v>0</v>
      </c>
      <c r="D27" t="str">
        <f>IFERROR(VLOOKUP($A27,'Consolidate List'!$A$2:$P$1048576,8,FALSE),"")</f>
        <v>n/a</v>
      </c>
      <c r="F27" t="str">
        <f>IFERROR(VLOOKUP($A27,'Consolidate List'!$A$2:$P$1048576,12,FALSE),"")</f>
        <v>OUI</v>
      </c>
      <c r="G27" t="str">
        <f>IFERROR(VLOOKUP($A27,'Consolidate List'!$A$2:$P$1048576,11,FALSE),"")</f>
        <v>2 - Opportunistic</v>
      </c>
      <c r="H27" t="str">
        <f>IFERROR(VLOOKUP($A27,'Consolidate List'!$A$2:$P$1048576,9,FALSE),"")</f>
        <v>21551 Beaumeade Circle, Ashburn, VA 20147</v>
      </c>
      <c r="I27" t="str">
        <f>IFERROR(VLOOKUP($A27,'Consolidate List'!$A$2:$P$1048576,10,FALSE),"")</f>
        <v>DC10</v>
      </c>
      <c r="J27" t="str">
        <f>IFERROR(_xlfn.CONCAT((VLOOKUP($A27,'Consolidate List'!$A$2:$P$1048576,5,FALSE)),", ",VLOOKUP($A27,'Consolidate List'!$A$2:$P$1048576,6,FALSE)),"")</f>
        <v>Virginia, Ashburn</v>
      </c>
      <c r="K27" t="str">
        <f>IFERROR(VLOOKUP($A27,'Consolidate List'!$A$2:$P$1048576,17,FALSE),"")</f>
        <v/>
      </c>
    </row>
    <row r="28" spans="1:11" x14ac:dyDescent="0.35">
      <c r="A28" t="str">
        <f>IFERROR(Tableau1[[#This Row],[ID Unique]],"")</f>
        <v>EQASDC11UN11</v>
      </c>
      <c r="B28" t="str">
        <f>IFERROR(VLOOKUP($A28,'Consolidate List'!$A$2:$P$1048576,15,FALSE),"")</f>
        <v>-77.4594652</v>
      </c>
      <c r="C28" t="str">
        <f>IFERROR(VLOOKUP($A28,'Consolidate List'!$A$2:$P$1048576,16,FALSE),"")</f>
        <v>https://plazza.orange.com/docs/DOC-759493</v>
      </c>
      <c r="D28" t="str">
        <f>IFERROR(VLOOKUP($A28,'Consolidate List'!$A$2:$P$1048576,8,FALSE),"")</f>
        <v>IADF02</v>
      </c>
      <c r="F28" t="str">
        <f>IFERROR(VLOOKUP($A28,'Consolidate List'!$A$2:$P$1048576,12,FALSE),"")</f>
        <v>OUI</v>
      </c>
      <c r="G28" t="str">
        <f>IFERROR(VLOOKUP($A28,'Consolidate List'!$A$2:$P$1048576,11,FALSE),"")</f>
        <v>2 - Opportunistic</v>
      </c>
      <c r="H28" t="str">
        <f>IFERROR(VLOOKUP($A28,'Consolidate List'!$A$2:$P$1048576,9,FALSE),"")</f>
        <v>21721 Filigree Court, Ashburn, VA 20147</v>
      </c>
      <c r="I28" t="str">
        <f>IFERROR(VLOOKUP($A28,'Consolidate List'!$A$2:$P$1048576,10,FALSE),"")</f>
        <v>DC11</v>
      </c>
      <c r="J28" t="str">
        <f>IFERROR(_xlfn.CONCAT((VLOOKUP($A28,'Consolidate List'!$A$2:$P$1048576,5,FALSE)),", ",VLOOKUP($A28,'Consolidate List'!$A$2:$P$1048576,6,FALSE)),"")</f>
        <v>Virginia, Ashburn</v>
      </c>
      <c r="K28" t="str">
        <f>IFERROR(VLOOKUP($A28,'Consolidate List'!$A$2:$P$1048576,17,FALSE),"")</f>
        <v/>
      </c>
    </row>
    <row r="29" spans="1:11" x14ac:dyDescent="0.35">
      <c r="A29" t="str">
        <f>IFERROR(Tableau1[[#This Row],[ID Unique]],"")</f>
        <v>EQASDC13UN13</v>
      </c>
      <c r="B29" t="str">
        <f>IFERROR(VLOOKUP($A29,'Consolidate List'!$A$2:$P$1048576,15,FALSE),"")</f>
        <v>-77.4753692</v>
      </c>
      <c r="C29" t="str">
        <f>IFERROR(VLOOKUP($A29,'Consolidate List'!$A$2:$P$1048576,16,FALSE),"")</f>
        <v>https://plazza.orange.com/docs/DOC-759493</v>
      </c>
      <c r="D29" t="str">
        <f>IFERROR(VLOOKUP($A29,'Consolidate List'!$A$2:$P$1048576,8,FALSE),"")</f>
        <v>not found on GINI</v>
      </c>
      <c r="F29" t="str">
        <f>IFERROR(VLOOKUP($A29,'Consolidate List'!$A$2:$P$1048576,12,FALSE),"")</f>
        <v>OUI</v>
      </c>
      <c r="G29" t="str">
        <f>IFERROR(VLOOKUP($A29,'Consolidate List'!$A$2:$P$1048576,11,FALSE),"")</f>
        <v>2 - Opportunistic</v>
      </c>
      <c r="H29" t="str">
        <f>IFERROR(VLOOKUP($A29,'Consolidate List'!$A$2:$P$1048576,9,FALSE),"")</f>
        <v>21830 Uunet Way, Ashburn, Virginia, United States of America, 20147</v>
      </c>
      <c r="I29" t="str">
        <f>IFERROR(VLOOKUP($A29,'Consolidate List'!$A$2:$P$1048576,10,FALSE),"")</f>
        <v>DC13</v>
      </c>
      <c r="J29" t="str">
        <f>IFERROR(_xlfn.CONCAT((VLOOKUP($A29,'Consolidate List'!$A$2:$P$1048576,5,FALSE)),", ",VLOOKUP($A29,'Consolidate List'!$A$2:$P$1048576,6,FALSE)),"")</f>
        <v>Virginia, Ashburn</v>
      </c>
      <c r="K29" t="str">
        <f>IFERROR(VLOOKUP($A29,'Consolidate List'!$A$2:$P$1048576,17,FALSE),"")</f>
        <v/>
      </c>
    </row>
    <row r="30" spans="1:11" x14ac:dyDescent="0.35">
      <c r="A30" t="str">
        <f>IFERROR(Tableau1[[#This Row],[ID Unique]],"")</f>
        <v>EQASDC21UN21</v>
      </c>
      <c r="B30" t="str">
        <f>IFERROR(VLOOKUP($A30,'Consolidate List'!$A$2:$P$1048576,15,FALSE),"")</f>
        <v>-77.45414099999999</v>
      </c>
      <c r="C30" t="str">
        <f>IFERROR(VLOOKUP($A30,'Consolidate List'!$A$2:$P$1048576,16,FALSE),"")</f>
        <v>https://plazza.orange.com/docs/DOC-759493</v>
      </c>
      <c r="D30" t="str">
        <f>IFERROR(VLOOKUP($A30,'Consolidate List'!$A$2:$P$1048576,8,FALSE),"")</f>
        <v>not found on GINI</v>
      </c>
      <c r="F30" t="str">
        <f>IFERROR(VLOOKUP($A30,'Consolidate List'!$A$2:$P$1048576,12,FALSE),"")</f>
        <v>OUI</v>
      </c>
      <c r="G30" t="str">
        <f>IFERROR(VLOOKUP($A30,'Consolidate List'!$A$2:$P$1048576,11,FALSE),"")</f>
        <v>2 - Opportunistic</v>
      </c>
      <c r="H30" t="str">
        <f>IFERROR(VLOOKUP($A30,'Consolidate List'!$A$2:$P$1048576,9,FALSE),"")</f>
        <v>22175 Beaumeade Circle, Ashburn, Virginia, United States of America, 20147</v>
      </c>
      <c r="I30" t="str">
        <f>IFERROR(VLOOKUP($A30,'Consolidate List'!$A$2:$P$1048576,10,FALSE),"")</f>
        <v>DC21</v>
      </c>
      <c r="J30" t="str">
        <f>IFERROR(_xlfn.CONCAT((VLOOKUP($A30,'Consolidate List'!$A$2:$P$1048576,5,FALSE)),", ",VLOOKUP($A30,'Consolidate List'!$A$2:$P$1048576,6,FALSE)),"")</f>
        <v>Virginia, Ashburn</v>
      </c>
      <c r="K30" t="str">
        <f>IFERROR(VLOOKUP($A30,'Consolidate List'!$A$2:$P$1048576,17,FALSE),"")</f>
        <v/>
      </c>
    </row>
    <row r="31" spans="1:11" x14ac:dyDescent="0.35">
      <c r="A31" t="str">
        <f>IFERROR(Tableau1[[#This Row],[ID Unique]],"")</f>
        <v>EQASDC3UNC3</v>
      </c>
      <c r="B31" t="str">
        <f>IFERROR(VLOOKUP($A31,'Consolidate List'!$A$2:$P$1048576,15,FALSE),"")</f>
        <v>-77.460696</v>
      </c>
      <c r="C31" t="str">
        <f>IFERROR(VLOOKUP($A31,'Consolidate List'!$A$2:$P$1048576,16,FALSE),"")</f>
        <v>https://plazza.orange.com/docs/DOC-759493</v>
      </c>
      <c r="D31" t="str">
        <f>IFERROR(VLOOKUP($A31,'Consolidate List'!$A$2:$P$1048576,8,FALSE),"")</f>
        <v>not found on GINI</v>
      </c>
      <c r="F31" t="str">
        <f>IFERROR(VLOOKUP($A31,'Consolidate List'!$A$2:$P$1048576,12,FALSE),"")</f>
        <v>OUI</v>
      </c>
      <c r="G31" t="str">
        <f>IFERROR(VLOOKUP($A31,'Consolidate List'!$A$2:$P$1048576,11,FALSE),"")</f>
        <v>2 - Opportunistic</v>
      </c>
      <c r="H31" t="str">
        <f>IFERROR(VLOOKUP($A31,'Consolidate List'!$A$2:$P$1048576,9,FALSE),"")</f>
        <v>44470 Chilum Place, 20147, Ashburn</v>
      </c>
      <c r="I31" t="str">
        <f>IFERROR(VLOOKUP($A31,'Consolidate List'!$A$2:$P$1048576,10,FALSE),"")</f>
        <v>DC3</v>
      </c>
      <c r="J31" t="str">
        <f>IFERROR(_xlfn.CONCAT((VLOOKUP($A31,'Consolidate List'!$A$2:$P$1048576,5,FALSE)),", ",VLOOKUP($A31,'Consolidate List'!$A$2:$P$1048576,6,FALSE)),"")</f>
        <v>Virginia, Ashburn</v>
      </c>
      <c r="K31" t="str">
        <f>IFERROR(VLOOKUP($A31,'Consolidate List'!$A$2:$P$1048576,17,FALSE),"")</f>
        <v/>
      </c>
    </row>
    <row r="32" spans="1:11" x14ac:dyDescent="0.35">
      <c r="A32" t="str">
        <f>IFERROR(Tableau1[[#This Row],[ID Unique]],"")</f>
        <v>NTKWNTT CHNG</v>
      </c>
      <c r="B32" t="str">
        <f>IFERROR(VLOOKUP($A32,'Consolidate List'!$A$2:$P$1048576,15,FALSE),"")</f>
        <v>114.1245238</v>
      </c>
      <c r="C32">
        <f>IFERROR(VLOOKUP($A32,'Consolidate List'!$A$2:$P$1048576,16,FALSE),"")</f>
        <v>0</v>
      </c>
      <c r="D32" t="str">
        <f>IFERROR(VLOOKUP($A32,'Consolidate List'!$A$2:$P$1048576,8,FALSE),"")</f>
        <v>HKGD01</v>
      </c>
      <c r="F32" t="str">
        <f>IFERROR(VLOOKUP($A32,'Consolidate List'!$A$2:$P$1048576,12,FALSE),"")</f>
        <v>NON</v>
      </c>
      <c r="G32" t="str">
        <f>IFERROR(VLOOKUP($A32,'Consolidate List'!$A$2:$P$1048576,11,FALSE),"")</f>
        <v>5 - Closed</v>
      </c>
      <c r="H32" t="str">
        <f>IFERROR(VLOOKUP($A32,'Consolidate List'!$A$2:$P$1048576,9,FALSE),"")</f>
        <v>15/F, Tower 2, Ever Gain Plaza, 88 Container Port Road, Kwai Chung, N.T., Hong Kong</v>
      </c>
      <c r="I32" t="str">
        <f>IFERROR(VLOOKUP($A32,'Consolidate List'!$A$2:$P$1048576,10,FALSE),"")</f>
        <v>NTT Kwai Chung</v>
      </c>
      <c r="J32" t="str">
        <f>IFERROR(_xlfn.CONCAT((VLOOKUP($A32,'Consolidate List'!$A$2:$P$1048576,5,FALSE)),", ",VLOOKUP($A32,'Consolidate List'!$A$2:$P$1048576,6,FALSE)),"")</f>
        <v xml:space="preserve">Hong Kong, Kwai Chung </v>
      </c>
      <c r="K32" t="str">
        <f>IFERROR(VLOOKUP($A32,'Consolidate List'!$A$2:$P$1048576,17,FALSE),"")</f>
        <v/>
      </c>
    </row>
    <row r="33" spans="1:11" x14ac:dyDescent="0.35">
      <c r="A33" t="str">
        <f>IFERROR(Tableau1[[#This Row],[ID Unique]],"")</f>
        <v>EQASDC4UNC4</v>
      </c>
      <c r="B33" t="str">
        <f>IFERROR(VLOOKUP($A33,'Consolidate List'!$A$2:$P$1048576,15,FALSE),"")</f>
        <v>-77.4619615</v>
      </c>
      <c r="C33" t="str">
        <f>IFERROR(VLOOKUP($A33,'Consolidate List'!$A$2:$P$1048576,16,FALSE),"")</f>
        <v>https://plazza.orange.com/docs/DOC-759493</v>
      </c>
      <c r="D33" t="str">
        <f>IFERROR(VLOOKUP($A33,'Consolidate List'!$A$2:$P$1048576,8,FALSE),"")</f>
        <v>IADD03</v>
      </c>
      <c r="F33" t="str">
        <f>IFERROR(VLOOKUP($A33,'Consolidate List'!$A$2:$P$1048576,12,FALSE),"")</f>
        <v>OUI</v>
      </c>
      <c r="G33" t="str">
        <f>IFERROR(VLOOKUP($A33,'Consolidate List'!$A$2:$P$1048576,11,FALSE),"")</f>
        <v>2 - Opportunistic</v>
      </c>
      <c r="H33" t="str">
        <f>IFERROR(VLOOKUP($A33,'Consolidate List'!$A$2:$P$1048576,9,FALSE),"")</f>
        <v>21691 Filigree Court, Ashburn, Virginia, United States of America, 20147</v>
      </c>
      <c r="I33" t="str">
        <f>IFERROR(VLOOKUP($A33,'Consolidate List'!$A$2:$P$1048576,10,FALSE),"")</f>
        <v>DC4</v>
      </c>
      <c r="J33" t="str">
        <f>IFERROR(_xlfn.CONCAT((VLOOKUP($A33,'Consolidate List'!$A$2:$P$1048576,5,FALSE)),", ",VLOOKUP($A33,'Consolidate List'!$A$2:$P$1048576,6,FALSE)),"")</f>
        <v>Virginia, Ashburn</v>
      </c>
      <c r="K33" t="str">
        <f>IFERROR(VLOOKUP($A33,'Consolidate List'!$A$2:$P$1048576,17,FALSE),"")</f>
        <v/>
      </c>
    </row>
    <row r="34" spans="1:11" x14ac:dyDescent="0.35">
      <c r="A34" t="str">
        <f>IFERROR(Tableau1[[#This Row],[ID Unique]],"")</f>
        <v>EQDEDE1UNE1</v>
      </c>
      <c r="B34" t="str">
        <f>IFERROR(VLOOKUP($A34,'Consolidate List'!$A$2:$P$1048576,15,FALSE),"")</f>
        <v>-104.8763163</v>
      </c>
      <c r="C34" t="str">
        <f>IFERROR(VLOOKUP($A34,'Consolidate List'!$A$2:$P$1048576,16,FALSE),"")</f>
        <v>https://plazza.orange.com/docs/DOC-759493</v>
      </c>
      <c r="D34" t="str">
        <f>IFERROR(VLOOKUP($A34,'Consolidate List'!$A$2:$P$1048576,8,FALSE),"")</f>
        <v>not found on GINI</v>
      </c>
      <c r="F34" t="str">
        <f>IFERROR(VLOOKUP($A34,'Consolidate List'!$A$2:$P$1048576,12,FALSE),"")</f>
        <v>OUI</v>
      </c>
      <c r="G34" t="str">
        <f>IFERROR(VLOOKUP($A34,'Consolidate List'!$A$2:$P$1048576,11,FALSE),"")</f>
        <v>2 - Opportunistic</v>
      </c>
      <c r="H34" t="str">
        <f>IFERROR(VLOOKUP($A34,'Consolidate List'!$A$2:$P$1048576,9,FALSE),"")</f>
        <v>9706 East Easter Avenue
Suite 160
Englewood, CO 80112</v>
      </c>
      <c r="I34" t="str">
        <f>IFERROR(VLOOKUP($A34,'Consolidate List'!$A$2:$P$1048576,10,FALSE),"")</f>
        <v>DE1</v>
      </c>
      <c r="J34" t="str">
        <f>IFERROR(_xlfn.CONCAT((VLOOKUP($A34,'Consolidate List'!$A$2:$P$1048576,5,FALSE)),", ",VLOOKUP($A34,'Consolidate List'!$A$2:$P$1048576,6,FALSE)),"")</f>
        <v>Colorado, Denver</v>
      </c>
      <c r="K34" t="str">
        <f>IFERROR(VLOOKUP($A34,'Consolidate List'!$A$2:$P$1048576,17,FALSE),"")</f>
        <v/>
      </c>
    </row>
    <row r="35" spans="1:11" x14ac:dyDescent="0.35">
      <c r="A35" t="str">
        <f>IFERROR(Tableau1[[#This Row],[ID Unique]],"")</f>
        <v>EQDEDE2UNE2</v>
      </c>
      <c r="B35">
        <f>IFERROR(VLOOKUP($A35,'Consolidate List'!$A$2:$P$1048576,15,FALSE),"")</f>
        <v>0</v>
      </c>
      <c r="C35">
        <f>IFERROR(VLOOKUP($A35,'Consolidate List'!$A$2:$P$1048576,16,FALSE),"")</f>
        <v>0</v>
      </c>
      <c r="D35" t="str">
        <f>IFERROR(VLOOKUP($A35,'Consolidate List'!$A$2:$P$1048576,8,FALSE),"")</f>
        <v>n/a</v>
      </c>
      <c r="F35" t="str">
        <f>IFERROR(VLOOKUP($A35,'Consolidate List'!$A$2:$P$1048576,12,FALSE),"")</f>
        <v>OUI</v>
      </c>
      <c r="G35" t="str">
        <f>IFERROR(VLOOKUP($A35,'Consolidate List'!$A$2:$P$1048576,11,FALSE),"")</f>
        <v>2 - Opportunistic</v>
      </c>
      <c r="H35" t="str">
        <f>IFERROR(VLOOKUP($A35,'Consolidate List'!$A$2:$P$1048576,9,FALSE),"")</f>
        <v>335 Inverness Drive South, Englewood, CO 80112</v>
      </c>
      <c r="I35" t="str">
        <f>IFERROR(VLOOKUP($A35,'Consolidate List'!$A$2:$P$1048576,10,FALSE),"")</f>
        <v>DE2</v>
      </c>
      <c r="J35" t="str">
        <f>IFERROR(_xlfn.CONCAT((VLOOKUP($A35,'Consolidate List'!$A$2:$P$1048576,5,FALSE)),", ",VLOOKUP($A35,'Consolidate List'!$A$2:$P$1048576,6,FALSE)),"")</f>
        <v>Colorado, Denver</v>
      </c>
      <c r="K35" t="str">
        <f>IFERROR(VLOOKUP($A35,'Consolidate List'!$A$2:$P$1048576,17,FALSE),"")</f>
        <v/>
      </c>
    </row>
    <row r="36" spans="1:11" x14ac:dyDescent="0.35">
      <c r="A36" t="str">
        <f>IFERROR(Tableau1[[#This Row],[ID Unique]],"")</f>
        <v>EQNENY1UNY1</v>
      </c>
      <c r="B36" t="str">
        <f>IFERROR(VLOOKUP($A36,'Consolidate List'!$A$2:$P$1048576,15,FALSE),"")</f>
        <v>-74.17340229999999</v>
      </c>
      <c r="C36" t="str">
        <f>IFERROR(VLOOKUP($A36,'Consolidate List'!$A$2:$P$1048576,16,FALSE),"")</f>
        <v>https://plazza.orange.com/docs/DOC-759493</v>
      </c>
      <c r="D36" t="str">
        <f>IFERROR(VLOOKUP($A36,'Consolidate List'!$A$2:$P$1048576,8,FALSE),"")</f>
        <v>EWRR01</v>
      </c>
      <c r="F36" t="str">
        <f>IFERROR(VLOOKUP($A36,'Consolidate List'!$A$2:$P$1048576,12,FALSE),"")</f>
        <v>OUI</v>
      </c>
      <c r="G36" t="str">
        <f>IFERROR(VLOOKUP($A36,'Consolidate List'!$A$2:$P$1048576,11,FALSE),"")</f>
        <v>2 - Opportunistic</v>
      </c>
      <c r="H36" t="str">
        <f>IFERROR(VLOOKUP($A36,'Consolidate List'!$A$2:$P$1048576,9,FALSE),"")</f>
        <v>165 Halsey St, 8th Floor, Newark, New Jersey, United States of America, 07102</v>
      </c>
      <c r="I36" t="str">
        <f>IFERROR(VLOOKUP($A36,'Consolidate List'!$A$2:$P$1048576,10,FALSE),"")</f>
        <v>NY1</v>
      </c>
      <c r="J36" t="str">
        <f>IFERROR(_xlfn.CONCAT((VLOOKUP($A36,'Consolidate List'!$A$2:$P$1048576,5,FALSE)),", ",VLOOKUP($A36,'Consolidate List'!$A$2:$P$1048576,6,FALSE)),"")</f>
        <v>New Jersey, Newark</v>
      </c>
      <c r="K36" t="str">
        <f>IFERROR(VLOOKUP($A36,'Consolidate List'!$A$2:$P$1048576,17,FALSE),"")</f>
        <v/>
      </c>
    </row>
    <row r="37" spans="1:11" x14ac:dyDescent="0.35">
      <c r="A37" t="str">
        <f>IFERROR(Tableau1[[#This Row],[ID Unique]],"")</f>
        <v>EQSENY2UNY2</v>
      </c>
      <c r="B37" t="str">
        <f>IFERROR(VLOOKUP($A37,'Consolidate List'!$A$2:$P$1048576,15,FALSE),"")</f>
        <v>-74.07590859999999</v>
      </c>
      <c r="C37" t="str">
        <f>IFERROR(VLOOKUP($A37,'Consolidate List'!$A$2:$P$1048576,16,FALSE),"")</f>
        <v>https://plazza.orange.com/docs/DOC-759493</v>
      </c>
      <c r="D37" t="str">
        <f>IFERROR(VLOOKUP($A37,'Consolidate List'!$A$2:$P$1048576,8,FALSE),"")</f>
        <v>EWRL02</v>
      </c>
      <c r="F37" t="str">
        <f>IFERROR(VLOOKUP($A37,'Consolidate List'!$A$2:$P$1048576,12,FALSE),"")</f>
        <v>OUI</v>
      </c>
      <c r="G37" t="str">
        <f>IFERROR(VLOOKUP($A37,'Consolidate List'!$A$2:$P$1048576,11,FALSE),"")</f>
        <v>2 - Opportunistic</v>
      </c>
      <c r="H37" t="str">
        <f>IFERROR(VLOOKUP($A37,'Consolidate List'!$A$2:$P$1048576,9,FALSE),"")</f>
        <v>275 Hartz Way, Secaucus, New Jersey, United States of America, 07094</v>
      </c>
      <c r="I37" t="str">
        <f>IFERROR(VLOOKUP($A37,'Consolidate List'!$A$2:$P$1048576,10,FALSE),"")</f>
        <v>NY2</v>
      </c>
      <c r="J37" t="str">
        <f>IFERROR(_xlfn.CONCAT((VLOOKUP($A37,'Consolidate List'!$A$2:$P$1048576,5,FALSE)),", ",VLOOKUP($A37,'Consolidate List'!$A$2:$P$1048576,6,FALSE)),"")</f>
        <v>New Jersey, Secaucus</v>
      </c>
      <c r="K37" t="str">
        <f>IFERROR(VLOOKUP($A37,'Consolidate List'!$A$2:$P$1048576,17,FALSE),"")</f>
        <v/>
      </c>
    </row>
    <row r="38" spans="1:11" x14ac:dyDescent="0.35">
      <c r="A38" t="str">
        <f>IFERROR(Tableau1[[#This Row],[ID Unique]],"")</f>
        <v>EQSENY5UNY5</v>
      </c>
      <c r="B38" t="str">
        <f>IFERROR(VLOOKUP($A38,'Consolidate List'!$A$2:$P$1048576,15,FALSE),"")</f>
        <v>-74.0722373</v>
      </c>
      <c r="C38" t="str">
        <f>IFERROR(VLOOKUP($A38,'Consolidate List'!$A$2:$P$1048576,16,FALSE),"")</f>
        <v>https://plazza.orange.com/docs/DOC-759493</v>
      </c>
      <c r="D38" t="str">
        <f>IFERROR(VLOOKUP($A38,'Consolidate List'!$A$2:$P$1048576,8,FALSE),"")</f>
        <v>to be determined with GINI</v>
      </c>
      <c r="F38" t="str">
        <f>IFERROR(VLOOKUP($A38,'Consolidate List'!$A$2:$P$1048576,12,FALSE),"")</f>
        <v>OUI</v>
      </c>
      <c r="G38" t="str">
        <f>IFERROR(VLOOKUP($A38,'Consolidate List'!$A$2:$P$1048576,11,FALSE),"")</f>
        <v>2 - Opportunistic</v>
      </c>
      <c r="H38" t="str">
        <f>IFERROR(VLOOKUP($A38,'Consolidate List'!$A$2:$P$1048576,9,FALSE),"")</f>
        <v>800 Secaucus Rd, Secaucus, New Jersey, United States of America, 07094</v>
      </c>
      <c r="I38" t="str">
        <f>IFERROR(VLOOKUP($A38,'Consolidate List'!$A$2:$P$1048576,10,FALSE),"")</f>
        <v>NY5</v>
      </c>
      <c r="J38" t="str">
        <f>IFERROR(_xlfn.CONCAT((VLOOKUP($A38,'Consolidate List'!$A$2:$P$1048576,5,FALSE)),", ",VLOOKUP($A38,'Consolidate List'!$A$2:$P$1048576,6,FALSE)),"")</f>
        <v>New Jersey, Secaucus</v>
      </c>
      <c r="K38" t="str">
        <f>IFERROR(VLOOKUP($A38,'Consolidate List'!$A$2:$P$1048576,17,FALSE),"")</f>
        <v/>
      </c>
    </row>
    <row r="39" spans="1:11" x14ac:dyDescent="0.35">
      <c r="A39" t="str">
        <f>IFERROR(Tableau1[[#This Row],[ID Unique]],"")</f>
        <v>EQNEEQUAFR01</v>
      </c>
      <c r="B39" t="str">
        <f>IFERROR(VLOOKUP($A39,'Consolidate List'!$A$2:$P$1048576,15,FALSE),"")</f>
        <v>2.268323</v>
      </c>
      <c r="C39">
        <f>IFERROR(VLOOKUP($A39,'Consolidate List'!$A$2:$P$1048576,16,FALSE),"")</f>
        <v>0</v>
      </c>
      <c r="D39" t="str">
        <f>IFERROR(VLOOKUP($A39,'Consolidate List'!$A$2:$P$1048576,8,FALSE),"")</f>
        <v>PART01</v>
      </c>
      <c r="F39" t="str">
        <f>IFERROR(VLOOKUP($A39,'Consolidate List'!$A$2:$P$1048576,12,FALSE),"")</f>
        <v>NON</v>
      </c>
      <c r="G39" t="str">
        <f>IFERROR(VLOOKUP($A39,'Consolidate List'!$A$2:$P$1048576,11,FALSE),"")</f>
        <v>5 - Closed</v>
      </c>
      <c r="H39" t="str">
        <f>IFERROR(VLOOKUP($A39,'Consolidate List'!$A$2:$P$1048576,9,FALSE),"")</f>
        <v>112 Avenue Charles de Gaulle, 92522 Neuilly/Seine</v>
      </c>
      <c r="I39" t="str">
        <f>IFERROR(VLOOKUP($A39,'Consolidate List'!$A$2:$P$1048576,10,FALSE),"")</f>
        <v>Equant PART01</v>
      </c>
      <c r="J39" t="str">
        <f>IFERROR(_xlfn.CONCAT((VLOOKUP($A39,'Consolidate List'!$A$2:$P$1048576,5,FALSE)),", ",VLOOKUP($A39,'Consolidate List'!$A$2:$P$1048576,6,FALSE)),"")</f>
        <v>Paris, Neuilly</v>
      </c>
      <c r="K39" t="str">
        <f>IFERROR(VLOOKUP($A39,'Consolidate List'!$A$2:$P$1048576,17,FALSE),"")</f>
        <v/>
      </c>
    </row>
    <row r="40" spans="1:11" x14ac:dyDescent="0.35">
      <c r="A40" t="str">
        <f>IFERROR(Tableau1[[#This Row],[ID Unique]],"")</f>
        <v>ORNANANTFRIF</v>
      </c>
      <c r="B40" t="str">
        <f>IFERROR(VLOOKUP($A40,'Consolidate List'!$A$2:$P$1048576,15,FALSE),"")</f>
        <v>2.2111</v>
      </c>
      <c r="C40">
        <f>IFERROR(VLOOKUP($A40,'Consolidate List'!$A$2:$P$1048576,16,FALSE),"")</f>
        <v>0</v>
      </c>
      <c r="D40" t="str">
        <f>IFERROR(VLOOKUP($A40,'Consolidate List'!$A$2:$P$1048576,8,FALSE),"")</f>
        <v>PARH02</v>
      </c>
      <c r="F40" t="str">
        <f>IFERROR(VLOOKUP($A40,'Consolidate List'!$A$2:$P$1048576,12,FALSE),"")</f>
        <v>NON</v>
      </c>
      <c r="G40" t="str">
        <f>IFERROR(VLOOKUP($A40,'Consolidate List'!$A$2:$P$1048576,11,FALSE),"")</f>
        <v>5 - Closed</v>
      </c>
      <c r="H40" t="str">
        <f>IFERROR(VLOOKUP($A40,'Consolidate List'!$A$2:$P$1048576,9,FALSE),"")</f>
        <v xml:space="preserve">24, boulevard Jules Mansard
92000 NANTERRE.
</v>
      </c>
      <c r="I40" t="str">
        <f>IFERROR(VLOOKUP($A40,'Consolidate List'!$A$2:$P$1048576,10,FALSE),"")</f>
        <v>Nanterre - DIF</v>
      </c>
      <c r="J40" t="str">
        <f>IFERROR(_xlfn.CONCAT((VLOOKUP($A40,'Consolidate List'!$A$2:$P$1048576,5,FALSE)),", ",VLOOKUP($A40,'Consolidate List'!$A$2:$P$1048576,6,FALSE)),"")</f>
        <v>Paris, Nanterre</v>
      </c>
      <c r="K40" t="str">
        <f>IFERROR(VLOOKUP($A40,'Consolidate List'!$A$2:$P$1048576,17,FALSE),"")</f>
        <v/>
      </c>
    </row>
    <row r="41" spans="1:11" x14ac:dyDescent="0.35">
      <c r="A41" t="str">
        <f>IFERROR(Tableau1[[#This Row],[ID Unique]],"")</f>
        <v>EQSENY6UNY6</v>
      </c>
      <c r="B41" t="str">
        <f>IFERROR(VLOOKUP($A41,'Consolidate List'!$A$2:$P$1048576,15,FALSE),"")</f>
        <v>-74.072788</v>
      </c>
      <c r="C41" t="str">
        <f>IFERROR(VLOOKUP($A41,'Consolidate List'!$A$2:$P$1048576,16,FALSE),"")</f>
        <v>https://plazza.orange.com/docs/DOC-759493</v>
      </c>
      <c r="D41" t="str">
        <f>IFERROR(VLOOKUP($A41,'Consolidate List'!$A$2:$P$1048576,8,FALSE),"")</f>
        <v>NYCC31</v>
      </c>
      <c r="F41" t="str">
        <f>IFERROR(VLOOKUP($A41,'Consolidate List'!$A$2:$P$1048576,12,FALSE),"")</f>
        <v>OUI</v>
      </c>
      <c r="G41" t="str">
        <f>IFERROR(VLOOKUP($A41,'Consolidate List'!$A$2:$P$1048576,11,FALSE),"")</f>
        <v>2 - Opportunistic</v>
      </c>
      <c r="H41" t="str">
        <f>IFERROR(VLOOKUP($A41,'Consolidate List'!$A$2:$P$1048576,9,FALSE),"")</f>
        <v>105 Enterprise Avenue South, Secaucus, New Jersey, United States of America, 7094</v>
      </c>
      <c r="I41" t="str">
        <f>IFERROR(VLOOKUP($A41,'Consolidate List'!$A$2:$P$1048576,10,FALSE),"")</f>
        <v>NY6</v>
      </c>
      <c r="J41" t="str">
        <f>IFERROR(_xlfn.CONCAT((VLOOKUP($A41,'Consolidate List'!$A$2:$P$1048576,5,FALSE)),", ",VLOOKUP($A41,'Consolidate List'!$A$2:$P$1048576,6,FALSE)),"")</f>
        <v>New Jersey, Secaucus</v>
      </c>
      <c r="K41" t="str">
        <f>IFERROR(VLOOKUP($A41,'Consolidate List'!$A$2:$P$1048576,17,FALSE),"")</f>
        <v/>
      </c>
    </row>
    <row r="42" spans="1:11" x14ac:dyDescent="0.35">
      <c r="A42" t="str">
        <f>IFERROR(Tableau1[[#This Row],[ID Unique]],"")</f>
        <v>EQNENY9UNY9</v>
      </c>
      <c r="B42" t="str">
        <f>IFERROR(VLOOKUP($A42,'Consolidate List'!$A$2:$P$1048576,15,FALSE),"")</f>
        <v>-74.00338889999999</v>
      </c>
      <c r="C42" t="str">
        <f>IFERROR(VLOOKUP($A42,'Consolidate List'!$A$2:$P$1048576,16,FALSE),"")</f>
        <v>https://plazza.orange.com/docs/DOC-759493</v>
      </c>
      <c r="D42" t="str">
        <f>IFERROR(VLOOKUP($A42,'Consolidate List'!$A$2:$P$1048576,8,FALSE),"")</f>
        <v>not found on GINI</v>
      </c>
      <c r="F42" t="str">
        <f>IFERROR(VLOOKUP($A42,'Consolidate List'!$A$2:$P$1048576,12,FALSE),"")</f>
        <v>OUI</v>
      </c>
      <c r="G42" t="str">
        <f>IFERROR(VLOOKUP($A42,'Consolidate List'!$A$2:$P$1048576,11,FALSE),"")</f>
        <v>2 - Opportunistic</v>
      </c>
      <c r="H42" t="str">
        <f>IFERROR(VLOOKUP($A42,'Consolidate List'!$A$2:$P$1048576,9,FALSE),"")</f>
        <v>111 8th Ave, New York, New York, United States of America, 10011</v>
      </c>
      <c r="I42" t="str">
        <f>IFERROR(VLOOKUP($A42,'Consolidate List'!$A$2:$P$1048576,10,FALSE),"")</f>
        <v>NY9</v>
      </c>
      <c r="J42" t="str">
        <f>IFERROR(_xlfn.CONCAT((VLOOKUP($A42,'Consolidate List'!$A$2:$P$1048576,5,FALSE)),", ",VLOOKUP($A42,'Consolidate List'!$A$2:$P$1048576,6,FALSE)),"")</f>
        <v>New York, New York</v>
      </c>
      <c r="K42" t="str">
        <f>IFERROR(VLOOKUP($A42,'Consolidate List'!$A$2:$P$1048576,17,FALSE),"")</f>
        <v/>
      </c>
    </row>
    <row r="43" spans="1:11" x14ac:dyDescent="0.35">
      <c r="A43" t="str">
        <f>IFERROR(Tableau1[[#This Row],[ID Unique]],"")</f>
        <v>EQSESE2UNE2</v>
      </c>
      <c r="B43" t="str">
        <f>IFERROR(VLOOKUP($A43,'Consolidate List'!$A$2:$P$1048576,15,FALSE),"")</f>
        <v>-122.3388835</v>
      </c>
      <c r="C43" t="str">
        <f>IFERROR(VLOOKUP($A43,'Consolidate List'!$A$2:$P$1048576,16,FALSE),"")</f>
        <v>https://plazza.orange.com/docs/DOC-759493</v>
      </c>
      <c r="D43" t="str">
        <f>IFERROR(VLOOKUP($A43,'Consolidate List'!$A$2:$P$1048576,8,FALSE),"")</f>
        <v>SEAC04</v>
      </c>
      <c r="F43" t="str">
        <f>IFERROR(VLOOKUP($A43,'Consolidate List'!$A$2:$P$1048576,12,FALSE),"")</f>
        <v>OUI</v>
      </c>
      <c r="G43" t="str">
        <f>IFERROR(VLOOKUP($A43,'Consolidate List'!$A$2:$P$1048576,11,FALSE),"")</f>
        <v>2 - Opportunistic</v>
      </c>
      <c r="H43" t="str">
        <f>IFERROR(VLOOKUP($A43,'Consolidate List'!$A$2:$P$1048576,9,FALSE),"")</f>
        <v>2001 Sixth Ave, #350, Seattle, Washington, United States of America, 98121</v>
      </c>
      <c r="I43" t="str">
        <f>IFERROR(VLOOKUP($A43,'Consolidate List'!$A$2:$P$1048576,10,FALSE),"")</f>
        <v>SE2</v>
      </c>
      <c r="J43" t="str">
        <f>IFERROR(_xlfn.CONCAT((VLOOKUP($A43,'Consolidate List'!$A$2:$P$1048576,5,FALSE)),", ",VLOOKUP($A43,'Consolidate List'!$A$2:$P$1048576,6,FALSE)),"")</f>
        <v>Washington, Seattle</v>
      </c>
      <c r="K43" t="str">
        <f>IFERROR(VLOOKUP($A43,'Consolidate List'!$A$2:$P$1048576,17,FALSE),"")</f>
        <v/>
      </c>
    </row>
    <row r="44" spans="1:11" x14ac:dyDescent="0.35">
      <c r="A44" t="str">
        <f>IFERROR(Tableau1[[#This Row],[ID Unique]],"")</f>
        <v>EQSESE3UNE3</v>
      </c>
      <c r="B44" t="str">
        <f>IFERROR(VLOOKUP($A44,'Consolidate List'!$A$2:$P$1048576,15,FALSE),"")</f>
        <v>-122.3397413</v>
      </c>
      <c r="C44" t="str">
        <f>IFERROR(VLOOKUP($A44,'Consolidate List'!$A$2:$P$1048576,16,FALSE),"")</f>
        <v>https://plazza.orange.com/docs/DOC-759493</v>
      </c>
      <c r="D44" t="str">
        <f>IFERROR(VLOOKUP($A44,'Consolidate List'!$A$2:$P$1048576,8,FALSE),"")</f>
        <v>SEAL02</v>
      </c>
      <c r="F44" t="str">
        <f>IFERROR(VLOOKUP($A44,'Consolidate List'!$A$2:$P$1048576,12,FALSE),"")</f>
        <v>OUI</v>
      </c>
      <c r="G44" t="str">
        <f>IFERROR(VLOOKUP($A44,'Consolidate List'!$A$2:$P$1048576,11,FALSE),"")</f>
        <v>2 - Opportunistic</v>
      </c>
      <c r="H44" t="str">
        <f>IFERROR(VLOOKUP($A44,'Consolidate List'!$A$2:$P$1048576,9,FALSE),"")</f>
        <v>2020 Fifth Avenue, Seattle, Washington, United States of America, 98121</v>
      </c>
      <c r="I44" t="str">
        <f>IFERROR(VLOOKUP($A44,'Consolidate List'!$A$2:$P$1048576,10,FALSE),"")</f>
        <v>SE3</v>
      </c>
      <c r="J44" t="str">
        <f>IFERROR(_xlfn.CONCAT((VLOOKUP($A44,'Consolidate List'!$A$2:$P$1048576,5,FALSE)),", ",VLOOKUP($A44,'Consolidate List'!$A$2:$P$1048576,6,FALSE)),"")</f>
        <v>Washington, Seattle</v>
      </c>
      <c r="K44" t="str">
        <f>IFERROR(VLOOKUP($A44,'Consolidate List'!$A$2:$P$1048576,17,FALSE),"")</f>
        <v/>
      </c>
    </row>
    <row r="45" spans="1:11" x14ac:dyDescent="0.35">
      <c r="A45" t="str">
        <f>IFERROR(Tableau1[[#This Row],[ID Unique]],"")</f>
        <v>EQSASV1UNV1</v>
      </c>
      <c r="B45" t="str">
        <f>IFERROR(VLOOKUP($A45,'Consolidate List'!$A$2:$P$1048576,15,FALSE),"")</f>
        <v>-121.783474</v>
      </c>
      <c r="C45" t="str">
        <f>IFERROR(VLOOKUP($A45,'Consolidate List'!$A$2:$P$1048576,16,FALSE),"")</f>
        <v>https://plazza.orange.com/docs/DOC-759493</v>
      </c>
      <c r="D45" t="str">
        <f>IFERROR(VLOOKUP($A45,'Consolidate List'!$A$2:$P$1048576,8,FALSE),"")</f>
        <v>SJCC05</v>
      </c>
      <c r="F45" t="str">
        <f>IFERROR(VLOOKUP($A45,'Consolidate List'!$A$2:$P$1048576,12,FALSE),"")</f>
        <v>OUI</v>
      </c>
      <c r="G45" t="str">
        <f>IFERROR(VLOOKUP($A45,'Consolidate List'!$A$2:$P$1048576,11,FALSE),"")</f>
        <v>2 - Opportunistic</v>
      </c>
      <c r="H45" t="str">
        <f>IFERROR(VLOOKUP($A45,'Consolidate List'!$A$2:$P$1048576,9,FALSE),"")</f>
        <v>11 Great Oaks Boulevard, San Jose, California, United States of America, 95119</v>
      </c>
      <c r="I45" t="str">
        <f>IFERROR(VLOOKUP($A45,'Consolidate List'!$A$2:$P$1048576,10,FALSE),"")</f>
        <v>SV1</v>
      </c>
      <c r="J45" t="str">
        <f>IFERROR(_xlfn.CONCAT((VLOOKUP($A45,'Consolidate List'!$A$2:$P$1048576,5,FALSE)),", ",VLOOKUP($A45,'Consolidate List'!$A$2:$P$1048576,6,FALSE)),"")</f>
        <v>California, San Jose</v>
      </c>
      <c r="K45" t="str">
        <f>IFERROR(VLOOKUP($A45,'Consolidate List'!$A$2:$P$1048576,17,FALSE),"")</f>
        <v/>
      </c>
    </row>
    <row r="46" spans="1:11" x14ac:dyDescent="0.35">
      <c r="A46" t="str">
        <f>IFERROR(Tableau1[[#This Row],[ID Unique]],"")</f>
        <v>EQSASV10UN10</v>
      </c>
      <c r="B46" t="str">
        <f>IFERROR(VLOOKUP($A46,'Consolidate List'!$A$2:$P$1048576,15,FALSE),"")</f>
        <v>-121.7849556</v>
      </c>
      <c r="C46" t="str">
        <f>IFERROR(VLOOKUP($A46,'Consolidate List'!$A$2:$P$1048576,16,FALSE),"")</f>
        <v>https://plazza.orange.com/docs/DOC-759493</v>
      </c>
      <c r="D46" t="str">
        <f>IFERROR(VLOOKUP($A46,'Consolidate List'!$A$2:$P$1048576,8,FALSE),"")</f>
        <v>SJCF02</v>
      </c>
      <c r="F46" t="str">
        <f>IFERROR(VLOOKUP($A46,'Consolidate List'!$A$2:$P$1048576,12,FALSE),"")</f>
        <v>OUI</v>
      </c>
      <c r="G46" t="str">
        <f>IFERROR(VLOOKUP($A46,'Consolidate List'!$A$2:$P$1048576,11,FALSE),"")</f>
        <v>2 - Opportunistic</v>
      </c>
      <c r="H46" t="str">
        <f>IFERROR(VLOOKUP($A46,'Consolidate List'!$A$2:$P$1048576,9,FALSE),"")</f>
        <v>7 Great Oaks Boulevard, N/A, San Jose, California, United States of America, 95119</v>
      </c>
      <c r="I46" t="str">
        <f>IFERROR(VLOOKUP($A46,'Consolidate List'!$A$2:$P$1048576,10,FALSE),"")</f>
        <v>SV10</v>
      </c>
      <c r="J46" t="str">
        <f>IFERROR(_xlfn.CONCAT((VLOOKUP($A46,'Consolidate List'!$A$2:$P$1048576,5,FALSE)),", ",VLOOKUP($A46,'Consolidate List'!$A$2:$P$1048576,6,FALSE)),"")</f>
        <v>California, San Jose</v>
      </c>
      <c r="K46" t="str">
        <f>IFERROR(VLOOKUP($A46,'Consolidate List'!$A$2:$P$1048576,17,FALSE),"")</f>
        <v/>
      </c>
    </row>
    <row r="47" spans="1:11" x14ac:dyDescent="0.35">
      <c r="A47" t="str">
        <f>IFERROR(Tableau1[[#This Row],[ID Unique]],"")</f>
        <v>EQCOPA1FRA1</v>
      </c>
      <c r="B47" t="str">
        <f>IFERROR(VLOOKUP($A47,'Consolidate List'!$A$2:$P$1048576,15,FALSE),"")</f>
        <v>2.5071675</v>
      </c>
      <c r="C47">
        <f>IFERROR(VLOOKUP($A47,'Consolidate List'!$A$2:$P$1048576,16,FALSE),"")</f>
        <v>0</v>
      </c>
      <c r="D47" t="str">
        <f>IFERROR(VLOOKUP($A47,'Consolidate List'!$A$2:$P$1048576,8,FALSE),"")</f>
        <v>not found on GINI</v>
      </c>
      <c r="F47" t="str">
        <f>IFERROR(VLOOKUP($A47,'Consolidate List'!$A$2:$P$1048576,12,FALSE),"")</f>
        <v>NON</v>
      </c>
      <c r="G47" t="str">
        <f>IFERROR(VLOOKUP($A47,'Consolidate List'!$A$2:$P$1048576,11,FALSE),"")</f>
        <v>4 - Frozen</v>
      </c>
      <c r="H47" t="str">
        <f>IFERROR(VLOOKUP($A47,'Consolidate List'!$A$2:$P$1048576,9,FALSE),"")</f>
        <v>167 Rue de la Belle Etoile, 95948 Roissy-en-France</v>
      </c>
      <c r="I47" t="str">
        <f>IFERROR(VLOOKUP($A47,'Consolidate List'!$A$2:$P$1048576,10,FALSE),"")</f>
        <v>PA1</v>
      </c>
      <c r="J47" t="str">
        <f>IFERROR(_xlfn.CONCAT((VLOOKUP($A47,'Consolidate List'!$A$2:$P$1048576,5,FALSE)),", ",VLOOKUP($A47,'Consolidate List'!$A$2:$P$1048576,6,FALSE)),"")</f>
        <v>Paris, Courbevoie</v>
      </c>
      <c r="K47" t="str">
        <f>IFERROR(VLOOKUP($A47,'Consolidate List'!$A$2:$P$1048576,17,FALSE),"")</f>
        <v/>
      </c>
    </row>
    <row r="48" spans="1:11" x14ac:dyDescent="0.35">
      <c r="A48" t="str">
        <f>IFERROR(Tableau1[[#This Row],[ID Unique]],"")</f>
        <v>EQSASV16UN16</v>
      </c>
      <c r="B48">
        <f>IFERROR(VLOOKUP($A48,'Consolidate List'!$A$2:$P$1048576,15,FALSE),"")</f>
        <v>0</v>
      </c>
      <c r="C48">
        <f>IFERROR(VLOOKUP($A48,'Consolidate List'!$A$2:$P$1048576,16,FALSE),"")</f>
        <v>0</v>
      </c>
      <c r="D48" t="str">
        <f>IFERROR(VLOOKUP($A48,'Consolidate List'!$A$2:$P$1048576,8,FALSE),"")</f>
        <v>n/a</v>
      </c>
      <c r="F48" t="str">
        <f>IFERROR(VLOOKUP($A48,'Consolidate List'!$A$2:$P$1048576,12,FALSE),"")</f>
        <v>OUI</v>
      </c>
      <c r="G48" t="str">
        <f>IFERROR(VLOOKUP($A48,'Consolidate List'!$A$2:$P$1048576,11,FALSE),"")</f>
        <v>2 - Opportunistic</v>
      </c>
      <c r="H48" t="str">
        <f>IFERROR(VLOOKUP($A48,'Consolidate List'!$A$2:$P$1048576,9,FALSE),"")</f>
        <v>3000 Corvin Drive, POd B, Santa Clara, CA 95051</v>
      </c>
      <c r="I48" t="str">
        <f>IFERROR(VLOOKUP($A48,'Consolidate List'!$A$2:$P$1048576,10,FALSE),"")</f>
        <v>SV16</v>
      </c>
      <c r="J48" t="str">
        <f>IFERROR(_xlfn.CONCAT((VLOOKUP($A48,'Consolidate List'!$A$2:$P$1048576,5,FALSE)),", ",VLOOKUP($A48,'Consolidate List'!$A$2:$P$1048576,6,FALSE)),"")</f>
        <v>California, San Jose</v>
      </c>
      <c r="K48" t="str">
        <f>IFERROR(VLOOKUP($A48,'Consolidate List'!$A$2:$P$1048576,17,FALSE),"")</f>
        <v/>
      </c>
    </row>
    <row r="49" spans="1:11" x14ac:dyDescent="0.35">
      <c r="A49" t="str">
        <f>IFERROR(Tableau1[[#This Row],[ID Unique]],"")</f>
        <v>EQSASV3UNV3</v>
      </c>
      <c r="B49" t="str">
        <f>IFERROR(VLOOKUP($A49,'Consolidate List'!$A$2:$P$1048576,15,FALSE),"")</f>
        <v>-121.8884572</v>
      </c>
      <c r="C49" t="str">
        <f>IFERROR(VLOOKUP($A49,'Consolidate List'!$A$2:$P$1048576,16,FALSE),"")</f>
        <v>https://plazza.orange.com/docs/DOC-759493</v>
      </c>
      <c r="D49" t="str">
        <f>IFERROR(VLOOKUP($A49,'Consolidate List'!$A$2:$P$1048576,8,FALSE),"")</f>
        <v>not found on GINI</v>
      </c>
      <c r="F49" t="str">
        <f>IFERROR(VLOOKUP($A49,'Consolidate List'!$A$2:$P$1048576,12,FALSE),"")</f>
        <v>OUI</v>
      </c>
      <c r="G49" t="str">
        <f>IFERROR(VLOOKUP($A49,'Consolidate List'!$A$2:$P$1048576,11,FALSE),"")</f>
        <v>2 - Opportunistic</v>
      </c>
      <c r="H49" t="str">
        <f>IFERROR(VLOOKUP($A49,'Consolidate List'!$A$2:$P$1048576,9,FALSE),"")</f>
        <v>1735 Lundy Ave, San Jose, California, United States of America, 95131</v>
      </c>
      <c r="I49" t="str">
        <f>IFERROR(VLOOKUP($A49,'Consolidate List'!$A$2:$P$1048576,10,FALSE),"")</f>
        <v>SV3</v>
      </c>
      <c r="J49" t="str">
        <f>IFERROR(_xlfn.CONCAT((VLOOKUP($A49,'Consolidate List'!$A$2:$P$1048576,5,FALSE)),", ",VLOOKUP($A49,'Consolidate List'!$A$2:$P$1048576,6,FALSE)),"")</f>
        <v>California, San Jose</v>
      </c>
      <c r="K49" t="str">
        <f>IFERROR(VLOOKUP($A49,'Consolidate List'!$A$2:$P$1048576,17,FALSE),"")</f>
        <v/>
      </c>
    </row>
    <row r="50" spans="1:11" x14ac:dyDescent="0.35">
      <c r="A50" t="str">
        <f>IFERROR(Tableau1[[#This Row],[ID Unique]],"")</f>
        <v>EQSASV5UNV5</v>
      </c>
      <c r="B50" t="str">
        <f>IFERROR(VLOOKUP($A50,'Consolidate List'!$A$2:$P$1048576,15,FALSE),"")</f>
        <v>-121.7816047</v>
      </c>
      <c r="C50" t="str">
        <f>IFERROR(VLOOKUP($A50,'Consolidate List'!$A$2:$P$1048576,16,FALSE),"")</f>
        <v>https://plazza.orange.com/docs/DOC-759493</v>
      </c>
      <c r="D50" t="str">
        <f>IFERROR(VLOOKUP($A50,'Consolidate List'!$A$2:$P$1048576,8,FALSE),"")</f>
        <v>SJCD02</v>
      </c>
      <c r="F50" t="str">
        <f>IFERROR(VLOOKUP($A50,'Consolidate List'!$A$2:$P$1048576,12,FALSE),"")</f>
        <v>OUI</v>
      </c>
      <c r="G50" t="str">
        <f>IFERROR(VLOOKUP($A50,'Consolidate List'!$A$2:$P$1048576,11,FALSE),"")</f>
        <v>2 - Opportunistic</v>
      </c>
      <c r="H50" t="str">
        <f>IFERROR(VLOOKUP($A50,'Consolidate List'!$A$2:$P$1048576,9,FALSE),"")</f>
        <v>9 Great Oaks Boulevard, San Jose, California, United States of America, 95119</v>
      </c>
      <c r="I50" t="str">
        <f>IFERROR(VLOOKUP($A50,'Consolidate List'!$A$2:$P$1048576,10,FALSE),"")</f>
        <v>SV5</v>
      </c>
      <c r="J50" t="str">
        <f>IFERROR(_xlfn.CONCAT((VLOOKUP($A50,'Consolidate List'!$A$2:$P$1048576,5,FALSE)),", ",VLOOKUP($A50,'Consolidate List'!$A$2:$P$1048576,6,FALSE)),"")</f>
        <v>California, San Jose</v>
      </c>
      <c r="K50" t="str">
        <f>IFERROR(VLOOKUP($A50,'Consolidate List'!$A$2:$P$1048576,17,FALSE),"")</f>
        <v/>
      </c>
    </row>
    <row r="51" spans="1:11" x14ac:dyDescent="0.35">
      <c r="A51" t="str">
        <f>IFERROR(Tableau1[[#This Row],[ID Unique]],"")</f>
        <v>COSENY2 UNTE</v>
      </c>
      <c r="B51" t="str">
        <f>IFERROR(VLOOKUP($A51,'Consolidate List'!$A$2:$P$1048576,15,FALSE),"")</f>
        <v>-74.06468799999999</v>
      </c>
      <c r="C51" t="str">
        <f>IFERROR(VLOOKUP($A51,'Consolidate List'!$A$2:$P$1048576,16,FALSE),"")</f>
        <v>https://plazza.orange.com/docs/DOC-1766490</v>
      </c>
      <c r="D51" t="str">
        <f>IFERROR(VLOOKUP($A51,'Consolidate List'!$A$2:$P$1048576,8,FALSE),"")</f>
        <v>EWRL02</v>
      </c>
      <c r="F51" t="str">
        <f>IFERROR(VLOOKUP($A51,'Consolidate List'!$A$2:$P$1048576,12,FALSE),"")</f>
        <v>OUI</v>
      </c>
      <c r="G51" t="str">
        <f>IFERROR(VLOOKUP($A51,'Consolidate List'!$A$2:$P$1048576,11,FALSE),"")</f>
        <v>2 - Opportunistic</v>
      </c>
      <c r="H51" t="str">
        <f>IFERROR(VLOOKUP($A51,'Consolidate List'!$A$2:$P$1048576,9,FALSE),"")</f>
        <v>2 Emerson Lane, 7094, Secaucus, 1st Floor, Cabinet 0208</v>
      </c>
      <c r="I51" t="str">
        <f>IFERROR(VLOOKUP($A51,'Consolidate List'!$A$2:$P$1048576,10,FALSE),"")</f>
        <v>NY2 - CoreSite</v>
      </c>
      <c r="J51" t="str">
        <f>IFERROR(_xlfn.CONCAT((VLOOKUP($A51,'Consolidate List'!$A$2:$P$1048576,5,FALSE)),", ",VLOOKUP($A51,'Consolidate List'!$A$2:$P$1048576,6,FALSE)),"")</f>
        <v>New Jersey, Secaucus</v>
      </c>
      <c r="K51" t="str">
        <f>IFERROR(VLOOKUP($A51,'Consolidate List'!$A$2:$P$1048576,17,FALSE),"")</f>
        <v/>
      </c>
    </row>
    <row r="52" spans="1:11" x14ac:dyDescent="0.35">
      <c r="A52" t="str">
        <f>IFERROR(Tableau1[[#This Row],[ID Unique]],"")</f>
        <v>DICHCHI1UNI1</v>
      </c>
      <c r="B52" t="str">
        <f>IFERROR(VLOOKUP($A52,'Consolidate List'!$A$2:$P$1048576,15,FALSE),"")</f>
        <v>-87.6183281</v>
      </c>
      <c r="C52" t="str">
        <f>IFERROR(VLOOKUP($A52,'Consolidate List'!$A$2:$P$1048576,16,FALSE),"")</f>
        <v>https://plazza.orange.com/docs/DOC-1766515</v>
      </c>
      <c r="D52" t="str">
        <f>IFERROR(VLOOKUP($A52,'Consolidate List'!$A$2:$P$1048576,8,FALSE),"")</f>
        <v>CHIL03</v>
      </c>
      <c r="F52" t="str">
        <f>IFERROR(VLOOKUP($A52,'Consolidate List'!$A$2:$P$1048576,12,FALSE),"")</f>
        <v>OUI</v>
      </c>
      <c r="G52" t="str">
        <f>IFERROR(VLOOKUP($A52,'Consolidate List'!$A$2:$P$1048576,11,FALSE),"")</f>
        <v>2 - Opportunistic</v>
      </c>
      <c r="H52" t="str">
        <f>IFERROR(VLOOKUP($A52,'Consolidate List'!$A$2:$P$1048576,9,FALSE),"")</f>
        <v>350 E Cermak Rd, 4th Floor, Chicago, Illinois, United States of America, 60616</v>
      </c>
      <c r="I52" t="str">
        <f>IFERROR(VLOOKUP($A52,'Consolidate List'!$A$2:$P$1048576,10,FALSE),"")</f>
        <v>CHI1</v>
      </c>
      <c r="J52" t="str">
        <f>IFERROR(_xlfn.CONCAT((VLOOKUP($A52,'Consolidate List'!$A$2:$P$1048576,5,FALSE)),", ",VLOOKUP($A52,'Consolidate List'!$A$2:$P$1048576,6,FALSE)),"")</f>
        <v>Illinois, Chicago</v>
      </c>
      <c r="K52" t="str">
        <f>IFERROR(VLOOKUP($A52,'Consolidate List'!$A$2:$P$1048576,17,FALSE),"")</f>
        <v/>
      </c>
    </row>
    <row r="53" spans="1:11" x14ac:dyDescent="0.35">
      <c r="A53" t="str">
        <f>IFERROR(Tableau1[[#This Row],[ID Unique]],"")</f>
        <v>EQBRBR1AUR1</v>
      </c>
      <c r="B53" t="str">
        <f>IFERROR(VLOOKUP($A53,'Consolidate List'!$A$2:$P$1048576,15,FALSE),"")</f>
        <v>153.0356579</v>
      </c>
      <c r="C53" t="str">
        <f>IFERROR(VLOOKUP($A53,'Consolidate List'!$A$2:$P$1048576,16,FALSE),"")</f>
        <v>https://plazza.orange.com/docs/DOC-2345828</v>
      </c>
      <c r="D53" t="str">
        <f>IFERROR(VLOOKUP($A53,'Consolidate List'!$A$2:$P$1048576,8,FALSE),"")</f>
        <v>BNET01</v>
      </c>
      <c r="F53" t="str">
        <f>IFERROR(VLOOKUP($A53,'Consolidate List'!$A$2:$P$1048576,12,FALSE),"")</f>
        <v>OUI</v>
      </c>
      <c r="G53" t="str">
        <f>IFERROR(VLOOKUP($A53,'Consolidate List'!$A$2:$P$1048576,11,FALSE),"")</f>
        <v>2 - Opportunistic</v>
      </c>
      <c r="H53" t="str">
        <f>IFERROR(VLOOKUP($A53,'Consolidate List'!$A$2:$P$1048576,9,FALSE),"")</f>
        <v>Fortitude Valley, Bowen Hills Brisbane, Australie , QLD 4006</v>
      </c>
      <c r="I53" t="str">
        <f>IFERROR(VLOOKUP($A53,'Consolidate List'!$A$2:$P$1048576,10,FALSE),"")</f>
        <v>BR1</v>
      </c>
      <c r="J53" t="str">
        <f>IFERROR(_xlfn.CONCAT((VLOOKUP($A53,'Consolidate List'!$A$2:$P$1048576,5,FALSE)),", ",VLOOKUP($A53,'Consolidate List'!$A$2:$P$1048576,6,FALSE)),"")</f>
        <v>Brisbane, Brisbane</v>
      </c>
      <c r="K53" t="str">
        <f>IFERROR(VLOOKUP($A53,'Consolidate List'!$A$2:$P$1048576,17,FALSE),"")</f>
        <v/>
      </c>
    </row>
    <row r="54" spans="1:11" x14ac:dyDescent="0.35">
      <c r="A54" t="str">
        <f>IFERROR(Tableau1[[#This Row],[ID Unique]],"")</f>
        <v>EQPOME1AUE1</v>
      </c>
      <c r="B54" t="str">
        <f>IFERROR(VLOOKUP($A54,'Consolidate List'!$A$2:$P$1048576,15,FALSE),"")</f>
        <v>144.9153835</v>
      </c>
      <c r="C54" t="str">
        <f>IFERROR(VLOOKUP($A54,'Consolidate List'!$A$2:$P$1048576,16,FALSE),"")</f>
        <v>https://plazza.orange.com/docs/DOC-2345828</v>
      </c>
      <c r="D54" t="str">
        <f>IFERROR(VLOOKUP($A54,'Consolidate List'!$A$2:$P$1048576,8,FALSE),"")</f>
        <v>not found on GINI</v>
      </c>
      <c r="F54" t="str">
        <f>IFERROR(VLOOKUP($A54,'Consolidate List'!$A$2:$P$1048576,12,FALSE),"")</f>
        <v>OUI</v>
      </c>
      <c r="G54" t="str">
        <f>IFERROR(VLOOKUP($A54,'Consolidate List'!$A$2:$P$1048576,11,FALSE),"")</f>
        <v>2 - Opportunistic</v>
      </c>
      <c r="H54" t="str">
        <f>IFERROR(VLOOKUP($A54,'Consolidate List'!$A$2:$P$1048576,9,FALSE),"")</f>
        <v>Equinix ME1 Data Centre, 578 Lorimer Street, Port Melbourne,, AU, VIC 3207</v>
      </c>
      <c r="I54" t="str">
        <f>IFERROR(VLOOKUP($A54,'Consolidate List'!$A$2:$P$1048576,10,FALSE),"")</f>
        <v>ME1</v>
      </c>
      <c r="J54" t="str">
        <f>IFERROR(_xlfn.CONCAT((VLOOKUP($A54,'Consolidate List'!$A$2:$P$1048576,5,FALSE)),", ",VLOOKUP($A54,'Consolidate List'!$A$2:$P$1048576,6,FALSE)),"")</f>
        <v>Melbourne, Port Melbourne</v>
      </c>
      <c r="K54" t="str">
        <f>IFERROR(VLOOKUP($A54,'Consolidate List'!$A$2:$P$1048576,17,FALSE),"")</f>
        <v/>
      </c>
    </row>
    <row r="55" spans="1:11" x14ac:dyDescent="0.35">
      <c r="A55" t="str">
        <f>IFERROR(Tableau1[[#This Row],[ID Unique]],"")</f>
        <v>EQALSY4AUY4</v>
      </c>
      <c r="B55" t="str">
        <f>IFERROR(VLOOKUP($A55,'Consolidate List'!$A$2:$P$1048576,15,FALSE),"")</f>
        <v>151.1893617</v>
      </c>
      <c r="C55" t="str">
        <f>IFERROR(VLOOKUP($A55,'Consolidate List'!$A$2:$P$1048576,16,FALSE),"")</f>
        <v>https://plazza.orange.com/docs/DOC-2345828</v>
      </c>
      <c r="D55" t="str">
        <f>IFERROR(VLOOKUP($A55,'Consolidate List'!$A$2:$P$1048576,8,FALSE),"")</f>
        <v>not found on GINI</v>
      </c>
      <c r="F55" t="str">
        <f>IFERROR(VLOOKUP($A55,'Consolidate List'!$A$2:$P$1048576,12,FALSE),"")</f>
        <v>OUI</v>
      </c>
      <c r="G55" t="str">
        <f>IFERROR(VLOOKUP($A55,'Consolidate List'!$A$2:$P$1048576,11,FALSE),"")</f>
        <v>2 - Opportunistic</v>
      </c>
      <c r="H55" t="str">
        <f>IFERROR(VLOOKUP($A55,'Consolidate List'!$A$2:$P$1048576,9,FALSE),"")</f>
        <v>Equinix SY4 Data Centre, 200 Bourke Road, Alexandria, Sydney, NSW 2015 AU</v>
      </c>
      <c r="I55" t="str">
        <f>IFERROR(VLOOKUP($A55,'Consolidate List'!$A$2:$P$1048576,10,FALSE),"")</f>
        <v>SY4</v>
      </c>
      <c r="J55" t="str">
        <f>IFERROR(_xlfn.CONCAT((VLOOKUP($A55,'Consolidate List'!$A$2:$P$1048576,5,FALSE)),", ",VLOOKUP($A55,'Consolidate List'!$A$2:$P$1048576,6,FALSE)),"")</f>
        <v>Sydney, Alexandria</v>
      </c>
      <c r="K55" t="str">
        <f>IFERROR(VLOOKUP($A55,'Consolidate List'!$A$2:$P$1048576,17,FALSE),"")</f>
        <v/>
      </c>
    </row>
    <row r="56" spans="1:11" x14ac:dyDescent="0.35">
      <c r="A56" t="str">
        <f>IFERROR(Tableau1[[#This Row],[ID Unique]],"")</f>
        <v>EQALSY6AUY6</v>
      </c>
      <c r="B56" t="str">
        <f>IFERROR(VLOOKUP($A56,'Consolidate List'!$A$2:$P$1048576,15,FALSE),"")</f>
        <v>151.053381</v>
      </c>
      <c r="C56" t="str">
        <f>IFERROR(VLOOKUP($A56,'Consolidate List'!$A$2:$P$1048576,16,FALSE),"")</f>
        <v>https://plazza.orange.com/docs/DOC-2345828</v>
      </c>
      <c r="D56" t="str">
        <f>IFERROR(VLOOKUP($A56,'Consolidate List'!$A$2:$P$1048576,8,FALSE),"")</f>
        <v>not found on GINI</v>
      </c>
      <c r="F56" t="str">
        <f>IFERROR(VLOOKUP($A56,'Consolidate List'!$A$2:$P$1048576,12,FALSE),"")</f>
        <v>OUI</v>
      </c>
      <c r="G56" t="str">
        <f>IFERROR(VLOOKUP($A56,'Consolidate List'!$A$2:$P$1048576,11,FALSE),"")</f>
        <v>2 - Opportunistic</v>
      </c>
      <c r="H56" t="str">
        <f>IFERROR(VLOOKUP($A56,'Consolidate List'!$A$2:$P$1048576,9,FALSE),"")</f>
        <v>Equinix SY6 Data Centre, 8-14 Egerton St, Silverwater, Sydney, NSW 2128, Australia</v>
      </c>
      <c r="I56" t="str">
        <f>IFERROR(VLOOKUP($A56,'Consolidate List'!$A$2:$P$1048576,10,FALSE),"")</f>
        <v>SY6</v>
      </c>
      <c r="J56" t="str">
        <f>IFERROR(_xlfn.CONCAT((VLOOKUP($A56,'Consolidate List'!$A$2:$P$1048576,5,FALSE)),", ",VLOOKUP($A56,'Consolidate List'!$A$2:$P$1048576,6,FALSE)),"")</f>
        <v>Sydney, Alexandria</v>
      </c>
      <c r="K56" t="str">
        <f>IFERROR(VLOOKUP($A56,'Consolidate List'!$A$2:$P$1048576,17,FALSE),"")</f>
        <v/>
      </c>
    </row>
    <row r="57" spans="1:11" x14ac:dyDescent="0.35">
      <c r="A57" t="str">
        <f>IFERROR(Tableau1[[#This Row],[ID Unique]],"")</f>
        <v>ORCECESSFRON</v>
      </c>
      <c r="B57" t="str">
        <f>IFERROR(VLOOKUP($A57,'Consolidate List'!$A$2:$P$1048576,15,FALSE),"")</f>
        <v>-1.62541</v>
      </c>
      <c r="C57">
        <f>IFERROR(VLOOKUP($A57,'Consolidate List'!$A$2:$P$1048576,16,FALSE),"")</f>
        <v>0</v>
      </c>
      <c r="D57" t="str">
        <f>IFERROR(VLOOKUP($A57,'Consolidate List'!$A$2:$P$1048576,8,FALSE),"")</f>
        <v>ZFJP01</v>
      </c>
      <c r="F57" t="str">
        <f>IFERROR(VLOOKUP($A57,'Consolidate List'!$A$2:$P$1048576,12,FALSE),"")</f>
        <v>NON</v>
      </c>
      <c r="G57" t="str">
        <f>IFERROR(VLOOKUP($A57,'Consolidate List'!$A$2:$P$1048576,11,FALSE),"")</f>
        <v>4 - Frozen</v>
      </c>
      <c r="H57" t="str">
        <f>IFERROR(VLOOKUP($A57,'Consolidate List'!$A$2:$P$1048576,9,FALSE),"")</f>
        <v>Orange Business Services, 9 rue du chene Germain, Cesson Sevigne 35512</v>
      </c>
      <c r="I57" t="str">
        <f>IFERROR(VLOOKUP($A57,'Consolidate List'!$A$2:$P$1048576,10,FALSE),"")</f>
        <v>Cesson</v>
      </c>
      <c r="J57" t="str">
        <f>IFERROR(_xlfn.CONCAT((VLOOKUP($A57,'Consolidate List'!$A$2:$P$1048576,5,FALSE)),", ",VLOOKUP($A57,'Consolidate List'!$A$2:$P$1048576,6,FALSE)),"")</f>
        <v>Rennes, Cesson Sevigne</v>
      </c>
      <c r="K57" t="str">
        <f>IFERROR(VLOOKUP($A57,'Consolidate List'!$A$2:$P$1048576,17,FALSE),"")</f>
        <v/>
      </c>
    </row>
    <row r="58" spans="1:11" x14ac:dyDescent="0.35">
      <c r="A58" t="str">
        <f>IFERROR(Tableau1[[#This Row],[ID Unique]],"")</f>
        <v>TEPATH1FRH1</v>
      </c>
      <c r="B58" t="str">
        <f>IFERROR(VLOOKUP($A58,'Consolidate List'!$A$2:$P$1048576,15,FALSE),"")</f>
        <v>2.3443919</v>
      </c>
      <c r="C58">
        <f>IFERROR(VLOOKUP($A58,'Consolidate List'!$A$2:$P$1048576,16,FALSE),"")</f>
        <v>0</v>
      </c>
      <c r="D58" t="str">
        <f>IFERROR(VLOOKUP($A58,'Consolidate List'!$A$2:$P$1048576,8,FALSE),"")</f>
        <v>not found on GINI</v>
      </c>
      <c r="F58" t="str">
        <f>IFERROR(VLOOKUP($A58,'Consolidate List'!$A$2:$P$1048576,12,FALSE),"")</f>
        <v>NON</v>
      </c>
      <c r="G58" t="str">
        <f>IFERROR(VLOOKUP($A58,'Consolidate List'!$A$2:$P$1048576,11,FALSE),"")</f>
        <v>4 - Frozen</v>
      </c>
      <c r="H58" t="str">
        <f>IFERROR(VLOOKUP($A58,'Consolidate List'!$A$2:$P$1048576,9,FALSE),"")</f>
        <v>38 Rue des Jeuneurs, 75002 Paris</v>
      </c>
      <c r="I58" t="str">
        <f>IFERROR(VLOOKUP($A58,'Consolidate List'!$A$2:$P$1048576,10,FALSE),"")</f>
        <v>TH1</v>
      </c>
      <c r="J58" t="str">
        <f>IFERROR(_xlfn.CONCAT((VLOOKUP($A58,'Consolidate List'!$A$2:$P$1048576,5,FALSE)),", ",VLOOKUP($A58,'Consolidate List'!$A$2:$P$1048576,6,FALSE)),"")</f>
        <v>Paris, Paris</v>
      </c>
      <c r="K58" t="str">
        <f>IFERROR(VLOOKUP($A58,'Consolidate List'!$A$2:$P$1048576,17,FALSE),"")</f>
        <v/>
      </c>
    </row>
    <row r="59" spans="1:11" x14ac:dyDescent="0.35">
      <c r="A59" t="str">
        <f>IFERROR(Tableau1[[#This Row],[ID Unique]],"")</f>
        <v>EQWOSY7AUY7</v>
      </c>
      <c r="B59" t="str">
        <f>IFERROR(VLOOKUP($A59,'Consolidate List'!$A$2:$P$1048576,15,FALSE),"")</f>
        <v>150.8578338</v>
      </c>
      <c r="C59" t="str">
        <f>IFERROR(VLOOKUP($A59,'Consolidate List'!$A$2:$P$1048576,16,FALSE),"")</f>
        <v>https://plazza.orange.com/docs/DOC-2345828</v>
      </c>
      <c r="D59" t="str">
        <f>IFERROR(VLOOKUP($A59,'Consolidate List'!$A$2:$P$1048576,8,FALSE),"")</f>
        <v>not found on GINI</v>
      </c>
      <c r="F59" t="str">
        <f>IFERROR(VLOOKUP($A59,'Consolidate List'!$A$2:$P$1048576,12,FALSE),"")</f>
        <v>OUI</v>
      </c>
      <c r="G59" t="str">
        <f>IFERROR(VLOOKUP($A59,'Consolidate List'!$A$2:$P$1048576,11,FALSE),"")</f>
        <v>2 - Opportunistic</v>
      </c>
      <c r="H59" t="str">
        <f>IFERROR(VLOOKUP($A59,'Consolidate List'!$A$2:$P$1048576,9,FALSE),"")</f>
        <v>Equinix SY7 Data Centre, Lot 102 Lathe Place, Unanderra, Wollongong, NSW 2526, Australia</v>
      </c>
      <c r="I59" t="str">
        <f>IFERROR(VLOOKUP($A59,'Consolidate List'!$A$2:$P$1048576,10,FALSE),"")</f>
        <v>SY7</v>
      </c>
      <c r="J59" t="str">
        <f>IFERROR(_xlfn.CONCAT((VLOOKUP($A59,'Consolidate List'!$A$2:$P$1048576,5,FALSE)),", ",VLOOKUP($A59,'Consolidate List'!$A$2:$P$1048576,6,FALSE)),"")</f>
        <v>Sydney, Wollongong</v>
      </c>
      <c r="K59" t="str">
        <f>IFERROR(VLOOKUP($A59,'Consolidate List'!$A$2:$P$1048576,17,FALSE),"")</f>
        <v/>
      </c>
    </row>
    <row r="60" spans="1:11" x14ac:dyDescent="0.35">
      <c r="A60" t="str">
        <f>IFERROR(Tableau1[[#This Row],[ID Unique]],"")</f>
        <v>EQALSY1AUY1</v>
      </c>
      <c r="B60" t="str">
        <f>IFERROR(VLOOKUP($A60,'Consolidate List'!$A$2:$P$1048576,15,FALSE),"")</f>
        <v>151.1882048</v>
      </c>
      <c r="C60" t="str">
        <f>IFERROR(VLOOKUP($A60,'Consolidate List'!$A$2:$P$1048576,16,FALSE),"")</f>
        <v>https://plazza.orange.com/docs/DOC-2345828</v>
      </c>
      <c r="D60" t="str">
        <f>IFERROR(VLOOKUP($A60,'Consolidate List'!$A$2:$P$1048576,8,FALSE),"")</f>
        <v>not found on GINI</v>
      </c>
      <c r="F60" t="str">
        <f>IFERROR(VLOOKUP($A60,'Consolidate List'!$A$2:$P$1048576,12,FALSE),"")</f>
        <v>OUI</v>
      </c>
      <c r="G60" t="str">
        <f>IFERROR(VLOOKUP($A60,'Consolidate List'!$A$2:$P$1048576,11,FALSE),"")</f>
        <v>2 - Opportunistic</v>
      </c>
      <c r="H60" t="str">
        <f>IFERROR(VLOOKUP($A60,'Consolidate List'!$A$2:$P$1048576,9,FALSE),"")</f>
        <v>Equinix SY1 Data Centre, 639 Gardeners Road, Unit B, Mascot, Sydney, NSW 2020, Australia</v>
      </c>
      <c r="I60" t="str">
        <f>IFERROR(VLOOKUP($A60,'Consolidate List'!$A$2:$P$1048576,10,FALSE),"")</f>
        <v>SY1</v>
      </c>
      <c r="J60" t="str">
        <f>IFERROR(_xlfn.CONCAT((VLOOKUP($A60,'Consolidate List'!$A$2:$P$1048576,5,FALSE)),", ",VLOOKUP($A60,'Consolidate List'!$A$2:$P$1048576,6,FALSE)),"")</f>
        <v>Sydney, Alexandria</v>
      </c>
      <c r="K60" t="str">
        <f>IFERROR(VLOOKUP($A60,'Consolidate List'!$A$2:$P$1048576,17,FALSE),"")</f>
        <v/>
      </c>
    </row>
    <row r="61" spans="1:11" x14ac:dyDescent="0.35">
      <c r="A61" t="str">
        <f>IFERROR(Tableau1[[#This Row],[ID Unique]],"")</f>
        <v>ORCHCHEVFRIF</v>
      </c>
      <c r="B61" t="str">
        <f>IFERROR(VLOOKUP($A61,'Consolidate List'!$A$2:$P$1048576,15,FALSE),"")</f>
        <v>2.365006</v>
      </c>
      <c r="C61">
        <f>IFERROR(VLOOKUP($A61,'Consolidate List'!$A$2:$P$1048576,16,FALSE),"")</f>
        <v>0</v>
      </c>
      <c r="D61" t="str">
        <f>IFERROR(VLOOKUP($A61,'Consolidate List'!$A$2:$P$1048576,8,FALSE),"")</f>
        <v>PARH04</v>
      </c>
      <c r="F61" t="str">
        <f>IFERROR(VLOOKUP($A61,'Consolidate List'!$A$2:$P$1048576,12,FALSE),"")</f>
        <v>NON</v>
      </c>
      <c r="G61" t="str">
        <f>IFERROR(VLOOKUP($A61,'Consolidate List'!$A$2:$P$1048576,11,FALSE),"")</f>
        <v>5 - Closed</v>
      </c>
      <c r="H61" t="str">
        <f>IFERROR(VLOOKUP($A61,'Consolidate List'!$A$2:$P$1048576,9,FALSE),"")</f>
        <v>Orange Business Services - 72-74 av. De la Republique, 94550 Chevilly-Larue</v>
      </c>
      <c r="I61" t="str">
        <f>IFERROR(VLOOKUP($A61,'Consolidate List'!$A$2:$P$1048576,10,FALSE),"")</f>
        <v>Chevilly - DIF</v>
      </c>
      <c r="J61" t="str">
        <f>IFERROR(_xlfn.CONCAT((VLOOKUP($A61,'Consolidate List'!$A$2:$P$1048576,5,FALSE)),", ",VLOOKUP($A61,'Consolidate List'!$A$2:$P$1048576,6,FALSE)),"")</f>
        <v>Paris, Chevilly Larue</v>
      </c>
      <c r="K61" t="str">
        <f>IFERROR(VLOOKUP($A61,'Consolidate List'!$A$2:$P$1048576,17,FALSE),"")</f>
        <v/>
      </c>
    </row>
    <row r="62" spans="1:11" x14ac:dyDescent="0.35">
      <c r="A62" t="str">
        <f>IFERROR(Tableau1[[#This Row],[ID Unique]],"")</f>
        <v>ORRURUEIFRIF</v>
      </c>
      <c r="B62" t="str">
        <f>IFERROR(VLOOKUP($A62,'Consolidate List'!$A$2:$P$1048576,15,FALSE),"")</f>
        <v>2.1864777</v>
      </c>
      <c r="C62">
        <f>IFERROR(VLOOKUP($A62,'Consolidate List'!$A$2:$P$1048576,16,FALSE),"")</f>
        <v>0</v>
      </c>
      <c r="D62" t="str">
        <f>IFERROR(VLOOKUP($A62,'Consolidate List'!$A$2:$P$1048576,8,FALSE),"")</f>
        <v>QEVH01</v>
      </c>
      <c r="F62" t="str">
        <f>IFERROR(VLOOKUP($A62,'Consolidate List'!$A$2:$P$1048576,12,FALSE),"")</f>
        <v>NON</v>
      </c>
      <c r="G62" t="str">
        <f>IFERROR(VLOOKUP($A62,'Consolidate List'!$A$2:$P$1048576,11,FALSE),"")</f>
        <v>5 - Closed</v>
      </c>
      <c r="H62" t="str">
        <f>IFERROR(VLOOKUP($A62,'Consolidate List'!$A$2:$P$1048576,9,FALSE),"")</f>
        <v xml:space="preserve">Orange Business Services - 90 rue Pierre Brossolette, 92500 Rueil Malmaison                                                           </v>
      </c>
      <c r="I62" t="str">
        <f>IFERROR(VLOOKUP($A62,'Consolidate List'!$A$2:$P$1048576,10,FALSE),"")</f>
        <v>Rueil - DIF</v>
      </c>
      <c r="J62" t="str">
        <f>IFERROR(_xlfn.CONCAT((VLOOKUP($A62,'Consolidate List'!$A$2:$P$1048576,5,FALSE)),", ",VLOOKUP($A62,'Consolidate List'!$A$2:$P$1048576,6,FALSE)),"")</f>
        <v>Paris, Rueil-Malmaison</v>
      </c>
      <c r="K62" t="str">
        <f>IFERROR(VLOOKUP($A62,'Consolidate List'!$A$2:$P$1048576,17,FALSE),"")</f>
        <v/>
      </c>
    </row>
    <row r="63" spans="1:11" x14ac:dyDescent="0.35">
      <c r="A63" t="str">
        <f>IFERROR(Tableau1[[#This Row],[ID Unique]],"")</f>
        <v>EQFRESCHGERN</v>
      </c>
      <c r="B63">
        <f>IFERROR(VLOOKUP($A63,'Consolidate List'!$A$2:$P$1048576,15,FALSE),"")</f>
        <v>8.5694870689761196</v>
      </c>
      <c r="C63">
        <f>IFERROR(VLOOKUP($A63,'Consolidate List'!$A$2:$P$1048576,16,FALSE),"")</f>
        <v>0</v>
      </c>
      <c r="D63" t="str">
        <f>IFERROR(VLOOKUP($A63,'Consolidate List'!$A$2:$P$1048576,8,FALSE),"")</f>
        <v>not found on GINI</v>
      </c>
      <c r="F63" t="str">
        <f>IFERROR(VLOOKUP($A63,'Consolidate List'!$A$2:$P$1048576,12,FALSE),"")</f>
        <v>NON</v>
      </c>
      <c r="G63" t="str">
        <f>IFERROR(VLOOKUP($A63,'Consolidate List'!$A$2:$P$1048576,11,FALSE),"")</f>
        <v>4 - Frozen</v>
      </c>
      <c r="H63" t="str">
        <f>IFERROR(VLOOKUP($A63,'Consolidate List'!$A$2:$P$1048576,9,FALSE),"")</f>
        <v>Rahmannstraße 11 65760 Eschborn, Germany</v>
      </c>
      <c r="I63" t="str">
        <f>IFERROR(VLOOKUP($A63,'Consolidate List'!$A$2:$P$1048576,10,FALSE),"")</f>
        <v>Eschborn</v>
      </c>
      <c r="J63" t="str">
        <f>IFERROR(_xlfn.CONCAT((VLOOKUP($A63,'Consolidate List'!$A$2:$P$1048576,5,FALSE)),", ",VLOOKUP($A63,'Consolidate List'!$A$2:$P$1048576,6,FALSE)),"")</f>
        <v>Frankfurt, Frankfurt</v>
      </c>
      <c r="K63" t="str">
        <f>IFERROR(VLOOKUP($A63,'Consolidate List'!$A$2:$P$1048576,17,FALSE),"")</f>
        <v/>
      </c>
    </row>
    <row r="64" spans="1:11" x14ac:dyDescent="0.35">
      <c r="A64" t="str">
        <f>IFERROR(Tableau1[[#This Row],[ID Unique]],"")</f>
        <v>EQALSY2AUY2</v>
      </c>
      <c r="B64" t="str">
        <f>IFERROR(VLOOKUP($A64,'Consolidate List'!$A$2:$P$1048576,15,FALSE),"")</f>
        <v>151.1881905</v>
      </c>
      <c r="C64" t="str">
        <f>IFERROR(VLOOKUP($A64,'Consolidate List'!$A$2:$P$1048576,16,FALSE),"")</f>
        <v>https://plazza.orange.com/docs/DOC-2345828</v>
      </c>
      <c r="D64" t="str">
        <f>IFERROR(VLOOKUP($A64,'Consolidate List'!$A$2:$P$1048576,8,FALSE),"")</f>
        <v>SYDD02</v>
      </c>
      <c r="F64" t="str">
        <f>IFERROR(VLOOKUP($A64,'Consolidate List'!$A$2:$P$1048576,12,FALSE),"")</f>
        <v>OUI</v>
      </c>
      <c r="G64" t="str">
        <f>IFERROR(VLOOKUP($A64,'Consolidate List'!$A$2:$P$1048576,11,FALSE),"")</f>
        <v>1 - Major</v>
      </c>
      <c r="H64" t="str">
        <f>IFERROR(VLOOKUP($A64,'Consolidate List'!$A$2:$P$1048576,9,FALSE),"")</f>
        <v>Equinix SY2 Data Centre, 639 Gardeners Road, Unit C, Mascot, Sydney, NSW 2020, Australia</v>
      </c>
      <c r="I64" t="str">
        <f>IFERROR(VLOOKUP($A64,'Consolidate List'!$A$2:$P$1048576,10,FALSE),"")</f>
        <v>SY2</v>
      </c>
      <c r="J64" t="str">
        <f>IFERROR(_xlfn.CONCAT((VLOOKUP($A64,'Consolidate List'!$A$2:$P$1048576,5,FALSE)),", ",VLOOKUP($A64,'Consolidate List'!$A$2:$P$1048576,6,FALSE)),"")</f>
        <v>Sydney, Alexandria</v>
      </c>
      <c r="K64" t="str">
        <f>IFERROR(VLOOKUP($A64,'Consolidate List'!$A$2:$P$1048576,17,FALSE),"")</f>
        <v/>
      </c>
    </row>
    <row r="65" spans="1:11" x14ac:dyDescent="0.35">
      <c r="A65" t="str">
        <f>IFERROR(Tableau1[[#This Row],[ID Unique]],"")</f>
        <v>EQALSY3AUY3</v>
      </c>
      <c r="B65" t="str">
        <f>IFERROR(VLOOKUP($A65,'Consolidate List'!$A$2:$P$1048576,15,FALSE),"")</f>
        <v>151.1929422</v>
      </c>
      <c r="C65" t="str">
        <f>IFERROR(VLOOKUP($A65,'Consolidate List'!$A$2:$P$1048576,16,FALSE),"")</f>
        <v>https://plazza.orange.com/docs/DOC-2345828</v>
      </c>
      <c r="D65" t="str">
        <f>IFERROR(VLOOKUP($A65,'Consolidate List'!$A$2:$P$1048576,8,FALSE),"")</f>
        <v>not found on GINI</v>
      </c>
      <c r="F65" t="str">
        <f>IFERROR(VLOOKUP($A65,'Consolidate List'!$A$2:$P$1048576,12,FALSE),"")</f>
        <v>OUI</v>
      </c>
      <c r="G65" t="str">
        <f>IFERROR(VLOOKUP($A65,'Consolidate List'!$A$2:$P$1048576,11,FALSE),"")</f>
        <v>2 - Opportunistic</v>
      </c>
      <c r="H65" t="str">
        <f>IFERROR(VLOOKUP($A65,'Consolidate List'!$A$2:$P$1048576,9,FALSE),"")</f>
        <v>Equinix SY3 Data Centre, 47 Bourke Road,  Alexandria, Sydney, NSW 2015, Australia</v>
      </c>
      <c r="I65" t="str">
        <f>IFERROR(VLOOKUP($A65,'Consolidate List'!$A$2:$P$1048576,10,FALSE),"")</f>
        <v>SY3</v>
      </c>
      <c r="J65" t="str">
        <f>IFERROR(_xlfn.CONCAT((VLOOKUP($A65,'Consolidate List'!$A$2:$P$1048576,5,FALSE)),", ",VLOOKUP($A65,'Consolidate List'!$A$2:$P$1048576,6,FALSE)),"")</f>
        <v>Sydney, Alexandria</v>
      </c>
      <c r="K65" t="str">
        <f>IFERROR(VLOOKUP($A65,'Consolidate List'!$A$2:$P$1048576,17,FALSE),"")</f>
        <v/>
      </c>
    </row>
    <row r="66" spans="1:11" x14ac:dyDescent="0.35">
      <c r="A66" t="str">
        <f>IFERROR(Tableau1[[#This Row],[ID Unique]],"")</f>
        <v>21BEYANJCHAO</v>
      </c>
      <c r="B66" t="str">
        <f>IFERROR(VLOOKUP($A66,'Consolidate List'!$A$2:$P$1048576,15,FALSE),"")</f>
        <v>116.809217</v>
      </c>
      <c r="C66" t="str">
        <f>IFERROR(VLOOKUP($A66,'Consolidate List'!$A$2:$P$1048576,16,FALSE),"")</f>
        <v>To be done</v>
      </c>
      <c r="D66" t="str">
        <f>IFERROR(VLOOKUP($A66,'Consolidate List'!$A$2:$P$1048576,8,FALSE),"")</f>
        <v>not found on GINI</v>
      </c>
      <c r="F66" t="str">
        <f>IFERROR(VLOOKUP($A66,'Consolidate List'!$A$2:$P$1048576,12,FALSE),"")</f>
        <v>OUI</v>
      </c>
      <c r="G66" t="str">
        <f>IFERROR(VLOOKUP($A66,'Consolidate List'!$A$2:$P$1048576,11,FALSE),"")</f>
        <v>2 - Opportunistic</v>
      </c>
      <c r="H66" t="str">
        <f>IFERROR(VLOOKUP($A66,'Consolidate List'!$A$2:$P$1048576,9,FALSE),"")</f>
        <v>No. 596, Shenwei North Street, Yanjiao High-tech Zone, Sanhe City, Hebei Province, 河北省三河市燕郊高新区神威北大街596 号</v>
      </c>
      <c r="I66" t="str">
        <f>IFERROR(VLOOKUP($A66,'Consolidate List'!$A$2:$P$1048576,10,FALSE),"")</f>
        <v>Yanjiao</v>
      </c>
      <c r="J66" t="str">
        <f>IFERROR(_xlfn.CONCAT((VLOOKUP($A66,'Consolidate List'!$A$2:$P$1048576,5,FALSE)),", ",VLOOKUP($A66,'Consolidate List'!$A$2:$P$1048576,6,FALSE)),"")</f>
        <v>Beijing, Beijing</v>
      </c>
      <c r="K66" t="str">
        <f>IFERROR(VLOOKUP($A66,'Consolidate List'!$A$2:$P$1048576,17,FALSE),"")</f>
        <v/>
      </c>
    </row>
    <row r="67" spans="1:11" x14ac:dyDescent="0.35">
      <c r="A67" t="str">
        <f>IFERROR(Tableau1[[#This Row],[ID Unique]],"")</f>
        <v>21SHWAIGCHAO</v>
      </c>
      <c r="B67" t="str">
        <f>IFERROR(VLOOKUP($A67,'Consolidate List'!$A$2:$P$1048576,15,FALSE),"")</f>
        <v>121.5909</v>
      </c>
      <c r="C67" t="str">
        <f>IFERROR(VLOOKUP($A67,'Consolidate List'!$A$2:$P$1048576,16,FALSE),"")</f>
        <v>To be done</v>
      </c>
      <c r="D67" t="str">
        <f>IFERROR(VLOOKUP($A67,'Consolidate List'!$A$2:$P$1048576,8,FALSE),"")</f>
        <v>not found on GINI</v>
      </c>
      <c r="F67" t="str">
        <f>IFERROR(VLOOKUP($A67,'Consolidate List'!$A$2:$P$1048576,12,FALSE),"")</f>
        <v>OUI</v>
      </c>
      <c r="G67" t="str">
        <f>IFERROR(VLOOKUP($A67,'Consolidate List'!$A$2:$P$1048576,11,FALSE),"")</f>
        <v>2 - Opportunistic</v>
      </c>
      <c r="H67" t="str">
        <f>IFERROR(VLOOKUP($A67,'Consolidate List'!$A$2:$P$1048576,9,FALSE),"")</f>
        <v>No. 99, Fute West 1st Road, Waigaoqiao Free Trade Zone, Pudong New Area, Shanghai
上海市浦东新区外高桥保税区富特西一路99 号</v>
      </c>
      <c r="I67" t="str">
        <f>IFERROR(VLOOKUP($A67,'Consolidate List'!$A$2:$P$1048576,10,FALSE),"")</f>
        <v>Waigaoqiao</v>
      </c>
      <c r="J67" t="str">
        <f>IFERROR(_xlfn.CONCAT((VLOOKUP($A67,'Consolidate List'!$A$2:$P$1048576,5,FALSE)),", ",VLOOKUP($A67,'Consolidate List'!$A$2:$P$1048576,6,FALSE)),"")</f>
        <v>Shanghai, Shanghai</v>
      </c>
      <c r="K67" t="str">
        <f>IFERROR(VLOOKUP($A67,'Consolidate List'!$A$2:$P$1048576,17,FALSE),"")</f>
        <v/>
      </c>
    </row>
    <row r="68" spans="1:11" x14ac:dyDescent="0.35">
      <c r="A68" t="str">
        <f>IFERROR(Tableau1[[#This Row],[ID Unique]],"")</f>
        <v>EQHOHK1CHK1</v>
      </c>
      <c r="B68" t="str">
        <f>IFERROR(VLOOKUP($A68,'Consolidate List'!$A$2:$P$1048576,15,FALSE),"")</f>
        <v>114.1193175</v>
      </c>
      <c r="C68" t="str">
        <f>IFERROR(VLOOKUP($A68,'Consolidate List'!$A$2:$P$1048576,16,FALSE),"")</f>
        <v>https://plazza.orange.com/docs/DOC-2345841</v>
      </c>
      <c r="D68" t="str">
        <f>IFERROR(VLOOKUP($A68,'Consolidate List'!$A$2:$P$1048576,8,FALSE),"")</f>
        <v>not found on GINI</v>
      </c>
      <c r="F68" t="str">
        <f>IFERROR(VLOOKUP($A68,'Consolidate List'!$A$2:$P$1048576,12,FALSE),"")</f>
        <v>OUI</v>
      </c>
      <c r="G68" t="str">
        <f>IFERROR(VLOOKUP($A68,'Consolidate List'!$A$2:$P$1048576,11,FALSE),"")</f>
        <v>2 - Opportunistic</v>
      </c>
      <c r="H68" t="str">
        <f>IFERROR(VLOOKUP($A68,'Consolidate List'!$A$2:$P$1048576,9,FALSE),"")</f>
        <v>Equinix HK1 Data Centre, 17/F Global Gateway, 168 Yeung Uk Road, Tsuen Wan, N.T., Hong Kong</v>
      </c>
      <c r="I68" t="str">
        <f>IFERROR(VLOOKUP($A68,'Consolidate List'!$A$2:$P$1048576,10,FALSE),"")</f>
        <v>HK1</v>
      </c>
      <c r="J68" t="str">
        <f>IFERROR(_xlfn.CONCAT((VLOOKUP($A68,'Consolidate List'!$A$2:$P$1048576,5,FALSE)),", ",VLOOKUP($A68,'Consolidate List'!$A$2:$P$1048576,6,FALSE)),"")</f>
        <v>Hong Kong, Hong Kong</v>
      </c>
      <c r="K68" t="str">
        <f>IFERROR(VLOOKUP($A68,'Consolidate List'!$A$2:$P$1048576,17,FALSE),"")</f>
        <v/>
      </c>
    </row>
    <row r="69" spans="1:11" x14ac:dyDescent="0.35">
      <c r="A69" t="str">
        <f>IFERROR(Tableau1[[#This Row],[ID Unique]],"")</f>
        <v>EQFRFRAXGE01</v>
      </c>
      <c r="B69">
        <f>IFERROR(VLOOKUP($A69,'Consolidate List'!$A$2:$P$1048576,15,FALSE),"")</f>
        <v>8.6320118372871004</v>
      </c>
      <c r="C69">
        <f>IFERROR(VLOOKUP($A69,'Consolidate List'!$A$2:$P$1048576,16,FALSE),"")</f>
        <v>0</v>
      </c>
      <c r="D69" t="str">
        <f>IFERROR(VLOOKUP($A69,'Consolidate List'!$A$2:$P$1048576,8,FALSE),"")</f>
        <v>FRAX01</v>
      </c>
      <c r="F69" t="str">
        <f>IFERROR(VLOOKUP($A69,'Consolidate List'!$A$2:$P$1048576,12,FALSE),"")</f>
        <v>NON</v>
      </c>
      <c r="G69" t="str">
        <f>IFERROR(VLOOKUP($A69,'Consolidate List'!$A$2:$P$1048576,11,FALSE),"")</f>
        <v>4 - Frozen</v>
      </c>
      <c r="H69" t="str">
        <f>IFERROR(VLOOKUP($A69,'Consolidate List'!$A$2:$P$1048576,9,FALSE),"")</f>
        <v>Kleyerstraße 90 60326 Frankfurt am Main, Germany</v>
      </c>
      <c r="I69" t="str">
        <f>IFERROR(VLOOKUP($A69,'Consolidate List'!$A$2:$P$1048576,10,FALSE),"")</f>
        <v>FRAX01</v>
      </c>
      <c r="J69" t="str">
        <f>IFERROR(_xlfn.CONCAT((VLOOKUP($A69,'Consolidate List'!$A$2:$P$1048576,5,FALSE)),", ",VLOOKUP($A69,'Consolidate List'!$A$2:$P$1048576,6,FALSE)),"")</f>
        <v>Frankfurt, Frankfurt</v>
      </c>
      <c r="K69" t="str">
        <f>IFERROR(VLOOKUP($A69,'Consolidate List'!$A$2:$P$1048576,17,FALSE),"")</f>
        <v/>
      </c>
    </row>
    <row r="70" spans="1:11" x14ac:dyDescent="0.35">
      <c r="A70" t="str">
        <f>IFERROR(Tableau1[[#This Row],[ID Unique]],"")</f>
        <v>PCKWMCX1CH10</v>
      </c>
      <c r="B70" t="str">
        <f>IFERROR(VLOOKUP($A70,'Consolidate List'!$A$2:$P$1048576,15,FALSE),"")</f>
        <v>114.1237137</v>
      </c>
      <c r="C70" t="str">
        <f>IFERROR(VLOOKUP($A70,'Consolidate List'!$A$2:$P$1048576,16,FALSE),"")</f>
        <v>https://plazza.orange.com/docs/DOC-2345841</v>
      </c>
      <c r="D70" t="str">
        <f>IFERROR(VLOOKUP($A70,'Consolidate List'!$A$2:$P$1048576,8,FALSE),"")</f>
        <v>HKGH01</v>
      </c>
      <c r="F70" t="str">
        <f>IFERROR(VLOOKUP($A70,'Consolidate List'!$A$2:$P$1048576,12,FALSE),"")</f>
        <v>OUI</v>
      </c>
      <c r="G70" t="str">
        <f>IFERROR(VLOOKUP($A70,'Consolidate List'!$A$2:$P$1048576,11,FALSE),"")</f>
        <v>1 - Major</v>
      </c>
      <c r="H70" t="str">
        <f>IFERROR(VLOOKUP($A70,'Consolidate List'!$A$2:$P$1048576,9,FALSE),"")</f>
        <v>PCCW Vantage MCX10 Data Cente, Cargo Consolidation Complex, 43 Container Port Road, Kwai Chung, Hong Kong</v>
      </c>
      <c r="I70" t="str">
        <f>IFERROR(VLOOKUP($A70,'Consolidate List'!$A$2:$P$1048576,10,FALSE),"")</f>
        <v>MCX10</v>
      </c>
      <c r="J70" t="str">
        <f>IFERROR(_xlfn.CONCAT((VLOOKUP($A70,'Consolidate List'!$A$2:$P$1048576,5,FALSE)),", ",VLOOKUP($A70,'Consolidate List'!$A$2:$P$1048576,6,FALSE)),"")</f>
        <v xml:space="preserve">Hong Kong, Kwai Chung </v>
      </c>
      <c r="K70" t="str">
        <f>IFERROR(VLOOKUP($A70,'Consolidate List'!$A$2:$P$1048576,17,FALSE),"")</f>
        <v/>
      </c>
    </row>
    <row r="71" spans="1:11" x14ac:dyDescent="0.35">
      <c r="A71" t="str">
        <f>IFERROR(Tableau1[[#This Row],[ID Unique]],"")</f>
        <v>NTBENTT GEIN</v>
      </c>
      <c r="B71">
        <f>IFERROR(VLOOKUP($A71,'Consolidate List'!$A$2:$P$1048576,15,FALSE),"")</f>
        <v>13.237312778167899</v>
      </c>
      <c r="C71">
        <f>IFERROR(VLOOKUP($A71,'Consolidate List'!$A$2:$P$1048576,16,FALSE),"")</f>
        <v>0</v>
      </c>
      <c r="D71" t="str">
        <f>IFERROR(VLOOKUP($A71,'Consolidate List'!$A$2:$P$1048576,8,FALSE),"")</f>
        <v>not found on GINI</v>
      </c>
      <c r="F71" t="str">
        <f>IFERROR(VLOOKUP($A71,'Consolidate List'!$A$2:$P$1048576,12,FALSE),"")</f>
        <v>NON</v>
      </c>
      <c r="G71" t="str">
        <f>IFERROR(VLOOKUP($A71,'Consolidate List'!$A$2:$P$1048576,11,FALSE),"")</f>
        <v>4 - Frozen</v>
      </c>
      <c r="H71" t="str">
        <f>IFERROR(VLOOKUP($A71,'Consolidate List'!$A$2:$P$1048576,9,FALSE),"")</f>
        <v>Nonnendammallee 15, 13599 Berlin, Germany</v>
      </c>
      <c r="I71" t="str">
        <f>IFERROR(VLOOKUP($A71,'Consolidate List'!$A$2:$P$1048576,10,FALSE),"")</f>
        <v>NTT eshelter Berlin</v>
      </c>
      <c r="J71" t="str">
        <f>IFERROR(_xlfn.CONCAT((VLOOKUP($A71,'Consolidate List'!$A$2:$P$1048576,5,FALSE)),", ",VLOOKUP($A71,'Consolidate List'!$A$2:$P$1048576,6,FALSE)),"")</f>
        <v>Berlin, Berlin</v>
      </c>
      <c r="K71" t="str">
        <f>IFERROR(VLOOKUP($A71,'Consolidate List'!$A$2:$P$1048576,17,FALSE),"")</f>
        <v/>
      </c>
    </row>
    <row r="72" spans="1:11" x14ac:dyDescent="0.35">
      <c r="A72" t="str">
        <f>IFERROR(Tableau1[[#This Row],[ID Unique]],"")</f>
        <v>NTMUVIKHINC2</v>
      </c>
      <c r="B72" t="str">
        <f>IFERROR(VLOOKUP($A72,'Consolidate List'!$A$2:$P$1048576,15,FALSE),"")</f>
        <v>72.9252451</v>
      </c>
      <c r="C72">
        <f>IFERROR(VLOOKUP($A72,'Consolidate List'!$A$2:$P$1048576,16,FALSE),"")</f>
        <v>0</v>
      </c>
      <c r="D72" t="str">
        <f>IFERROR(VLOOKUP($A72,'Consolidate List'!$A$2:$P$1048576,8,FALSE),"")</f>
        <v>BOMC11</v>
      </c>
      <c r="F72" t="str">
        <f>IFERROR(VLOOKUP($A72,'Consolidate List'!$A$2:$P$1048576,12,FALSE),"")</f>
        <v>NON</v>
      </c>
      <c r="G72" t="str">
        <f>IFERROR(VLOOKUP($A72,'Consolidate List'!$A$2:$P$1048576,11,FALSE),"")</f>
        <v>4 - Frozen</v>
      </c>
      <c r="H72" t="str">
        <f>IFERROR(VLOOKUP($A72,'Consolidate List'!$A$2:$P$1048576,9,FALSE),"")</f>
        <v>NTT Netmagic Vikhroli DC2 Data Centre, Ground, First &amp; Second Floor, Mehra Industrial Estate, LBS Marg, Vikhroli (W) Mumbai, Maharashtra - 400079, INDIA</v>
      </c>
      <c r="I72" t="str">
        <f>IFERROR(VLOOKUP($A72,'Consolidate List'!$A$2:$P$1048576,10,FALSE),"")</f>
        <v>Vikhroli DC2</v>
      </c>
      <c r="J72" t="str">
        <f>IFERROR(_xlfn.CONCAT((VLOOKUP($A72,'Consolidate List'!$A$2:$P$1048576,5,FALSE)),", ",VLOOKUP($A72,'Consolidate List'!$A$2:$P$1048576,6,FALSE)),"")</f>
        <v>Mumbai, Mumbai</v>
      </c>
      <c r="K72" t="str">
        <f>IFERROR(VLOOKUP($A72,'Consolidate List'!$A$2:$P$1048576,17,FALSE),"")</f>
        <v/>
      </c>
    </row>
    <row r="73" spans="1:11" x14ac:dyDescent="0.35">
      <c r="A73" t="str">
        <f>IFERROR(Tableau1[[#This Row],[ID Unique]],"")</f>
        <v>NTMUVIKHINC4</v>
      </c>
      <c r="B73" t="str">
        <f>IFERROR(VLOOKUP($A73,'Consolidate List'!$A$2:$P$1048576,15,FALSE),"")</f>
        <v>72.9252451</v>
      </c>
      <c r="C73">
        <f>IFERROR(VLOOKUP($A73,'Consolidate List'!$A$2:$P$1048576,16,FALSE),"")</f>
        <v>0</v>
      </c>
      <c r="D73" t="str">
        <f>IFERROR(VLOOKUP($A73,'Consolidate List'!$A$2:$P$1048576,8,FALSE),"")</f>
        <v>not found on GINI</v>
      </c>
      <c r="F73" t="str">
        <f>IFERROR(VLOOKUP($A73,'Consolidate List'!$A$2:$P$1048576,12,FALSE),"")</f>
        <v>NON</v>
      </c>
      <c r="G73" t="str">
        <f>IFERROR(VLOOKUP($A73,'Consolidate List'!$A$2:$P$1048576,11,FALSE),"")</f>
        <v>4 - Frozen</v>
      </c>
      <c r="H73" t="str">
        <f>IFERROR(VLOOKUP($A73,'Consolidate List'!$A$2:$P$1048576,9,FALSE),"")</f>
        <v>NTT Netmagic Vikhroli DC4 Data Centre, Ground &amp; Mezzanine Floor, Universal Knitting Mills Pvt. Limited Building, Mehra Estate, LBS marg, Vikhroli (W) Mumbai, Maharashtra - 400079, INDIA</v>
      </c>
      <c r="I73" t="str">
        <f>IFERROR(VLOOKUP($A73,'Consolidate List'!$A$2:$P$1048576,10,FALSE),"")</f>
        <v>Vikhroli DC4</v>
      </c>
      <c r="J73" t="str">
        <f>IFERROR(_xlfn.CONCAT((VLOOKUP($A73,'Consolidate List'!$A$2:$P$1048576,5,FALSE)),", ",VLOOKUP($A73,'Consolidate List'!$A$2:$P$1048576,6,FALSE)),"")</f>
        <v>Mumbai, Mumbai</v>
      </c>
      <c r="K73" t="str">
        <f>IFERROR(VLOOKUP($A73,'Consolidate List'!$A$2:$P$1048576,17,FALSE),"")</f>
        <v/>
      </c>
    </row>
    <row r="74" spans="1:11" x14ac:dyDescent="0.35">
      <c r="A74" t="str">
        <f>IFERROR(Tableau1[[#This Row],[ID Unique]],"")</f>
        <v>STBASTT INCL</v>
      </c>
      <c r="B74" t="str">
        <f>IFERROR(VLOOKUP($A74,'Consolidate List'!$A$2:$P$1048576,15,FALSE),"")</f>
        <v>77.72564349999999</v>
      </c>
      <c r="C74">
        <f>IFERROR(VLOOKUP($A74,'Consolidate List'!$A$2:$P$1048576,16,FALSE),"")</f>
        <v>0</v>
      </c>
      <c r="D74" t="str">
        <f>IFERROR(VLOOKUP($A74,'Consolidate List'!$A$2:$P$1048576,8,FALSE),"")</f>
        <v>BLRT07</v>
      </c>
      <c r="F74" t="str">
        <f>IFERROR(VLOOKUP($A74,'Consolidate List'!$A$2:$P$1048576,12,FALSE),"")</f>
        <v>NON</v>
      </c>
      <c r="G74" t="str">
        <f>IFERROR(VLOOKUP($A74,'Consolidate List'!$A$2:$P$1048576,11,FALSE),"")</f>
        <v>4 - Frozen</v>
      </c>
      <c r="H74" t="str">
        <f>IFERROR(VLOOKUP($A74,'Consolidate List'!$A$2:$P$1048576,9,FALSE),"")</f>
        <v>STT  - Bengaluru DC2 Data Centre, #18, 19 &amp; 20, EPIP Layout, KIADB, Whitefield, Bangalore, 560066, India</v>
      </c>
      <c r="I74" t="str">
        <f>IFERROR(VLOOKUP($A74,'Consolidate List'!$A$2:$P$1048576,10,FALSE),"")</f>
        <v>STT TCL</v>
      </c>
      <c r="J74" t="str">
        <f>IFERROR(_xlfn.CONCAT((VLOOKUP($A74,'Consolidate List'!$A$2:$P$1048576,5,FALSE)),", ",VLOOKUP($A74,'Consolidate List'!$A$2:$P$1048576,6,FALSE)),"")</f>
        <v>Bangalore, Bangalore</v>
      </c>
      <c r="K74" t="str">
        <f>IFERROR(VLOOKUP($A74,'Consolidate List'!$A$2:$P$1048576,17,FALSE),"")</f>
        <v/>
      </c>
    </row>
    <row r="75" spans="1:11" x14ac:dyDescent="0.35">
      <c r="A75" t="str">
        <f>IFERROR(Tableau1[[#This Row],[ID Unique]],"")</f>
        <v>EQTSHK3CHK3</v>
      </c>
      <c r="B75" t="str">
        <f>IFERROR(VLOOKUP($A75,'Consolidate List'!$A$2:$P$1048576,15,FALSE),"")</f>
        <v>114.1186098</v>
      </c>
      <c r="C75" t="str">
        <f>IFERROR(VLOOKUP($A75,'Consolidate List'!$A$2:$P$1048576,16,FALSE),"")</f>
        <v>https://plazza.orange.com/docs/DOC-2345841</v>
      </c>
      <c r="D75" t="str">
        <f>IFERROR(VLOOKUP($A75,'Consolidate List'!$A$2:$P$1048576,8,FALSE),"")</f>
        <v>not found on GINI</v>
      </c>
      <c r="F75" t="str">
        <f>IFERROR(VLOOKUP($A75,'Consolidate List'!$A$2:$P$1048576,12,FALSE),"")</f>
        <v>OUI</v>
      </c>
      <c r="G75" t="str">
        <f>IFERROR(VLOOKUP($A75,'Consolidate List'!$A$2:$P$1048576,11,FALSE),"")</f>
        <v>2 - Opportunistic</v>
      </c>
      <c r="H75" t="str">
        <f>IFERROR(VLOOKUP($A75,'Consolidate List'!$A$2:$P$1048576,9,FALSE),"")</f>
        <v>Equinix HK3 Data Centre, 6/F, 1 Wang Wo Tsai Street, Tsuen Wan, N.T., Hong Kong</v>
      </c>
      <c r="I75" t="str">
        <f>IFERROR(VLOOKUP($A75,'Consolidate List'!$A$2:$P$1048576,10,FALSE),"")</f>
        <v>HK3</v>
      </c>
      <c r="J75" t="str">
        <f>IFERROR(_xlfn.CONCAT((VLOOKUP($A75,'Consolidate List'!$A$2:$P$1048576,5,FALSE)),", ",VLOOKUP($A75,'Consolidate List'!$A$2:$P$1048576,6,FALSE)),"")</f>
        <v>Hong Kong, Tsuen Wan</v>
      </c>
      <c r="K75" t="str">
        <f>IFERROR(VLOOKUP($A75,'Consolidate List'!$A$2:$P$1048576,17,FALSE),"")</f>
        <v/>
      </c>
    </row>
    <row r="76" spans="1:11" x14ac:dyDescent="0.35">
      <c r="A76" t="str">
        <f>IFERROR(Tableau1[[#This Row],[ID Unique]],"")</f>
        <v>STDESTT INCL</v>
      </c>
      <c r="B76" t="str">
        <f>IFERROR(VLOOKUP($A76,'Consolidate List'!$A$2:$P$1048576,15,FALSE),"")</f>
        <v>77.240201</v>
      </c>
      <c r="C76">
        <f>IFERROR(VLOOKUP($A76,'Consolidate List'!$A$2:$P$1048576,16,FALSE),"")</f>
        <v>0</v>
      </c>
      <c r="D76" t="str">
        <f>IFERROR(VLOOKUP($A76,'Consolidate List'!$A$2:$P$1048576,8,FALSE),"")</f>
        <v>DELT07</v>
      </c>
      <c r="F76" t="str">
        <f>IFERROR(VLOOKUP($A76,'Consolidate List'!$A$2:$P$1048576,12,FALSE),"")</f>
        <v>NON</v>
      </c>
      <c r="G76" t="str">
        <f>IFERROR(VLOOKUP($A76,'Consolidate List'!$A$2:$P$1048576,11,FALSE),"")</f>
        <v>4 - Frozen</v>
      </c>
      <c r="H76" t="str">
        <f>IFERROR(VLOOKUP($A76,'Consolidate List'!$A$2:$P$1048576,9,FALSE),"")</f>
        <v>IDC Building, Opp. Savitri Cinema Flyover, Greater Kailash - 1,</v>
      </c>
      <c r="I76" t="str">
        <f>IFERROR(VLOOKUP($A76,'Consolidate List'!$A$2:$P$1048576,10,FALSE),"")</f>
        <v>STT TCL</v>
      </c>
      <c r="J76" t="str">
        <f>IFERROR(_xlfn.CONCAT((VLOOKUP($A76,'Consolidate List'!$A$2:$P$1048576,5,FALSE)),", ",VLOOKUP($A76,'Consolidate List'!$A$2:$P$1048576,6,FALSE)),"")</f>
        <v>Delhi, Delhi</v>
      </c>
      <c r="K76" t="str">
        <f>IFERROR(VLOOKUP($A76,'Consolidate List'!$A$2:$P$1048576,17,FALSE),"")</f>
        <v/>
      </c>
    </row>
    <row r="77" spans="1:11" x14ac:dyDescent="0.35">
      <c r="A77" t="str">
        <f>IFERROR(Tableau1[[#This Row],[ID Unique]],"")</f>
        <v>STMUSTT INCL</v>
      </c>
      <c r="B77" t="str">
        <f>IFERROR(VLOOKUP($A77,'Consolidate List'!$A$2:$P$1048576,15,FALSE),"")</f>
        <v>72.8617897</v>
      </c>
      <c r="C77">
        <f>IFERROR(VLOOKUP($A77,'Consolidate List'!$A$2:$P$1048576,16,FALSE),"")</f>
        <v>0</v>
      </c>
      <c r="D77" t="str">
        <f>IFERROR(VLOOKUP($A77,'Consolidate List'!$A$2:$P$1048576,8,FALSE),"")</f>
        <v>BOMT08</v>
      </c>
      <c r="F77" t="str">
        <f>IFERROR(VLOOKUP($A77,'Consolidate List'!$A$2:$P$1048576,12,FALSE),"")</f>
        <v>NON</v>
      </c>
      <c r="G77" t="str">
        <f>IFERROR(VLOOKUP($A77,'Consolidate List'!$A$2:$P$1048576,11,FALSE),"")</f>
        <v>4 - Frozen</v>
      </c>
      <c r="H77" t="str">
        <f>IFERROR(VLOOKUP($A77,'Consolidate List'!$A$2:$P$1048576,9,FALSE),"")</f>
        <v>Plot C-21 &amp; C-36, G Block, Bandra Kulrla Complex, Vidyanagari Post office, Mumbai 400098, India</v>
      </c>
      <c r="I77" t="str">
        <f>IFERROR(VLOOKUP($A77,'Consolidate List'!$A$2:$P$1048576,10,FALSE),"")</f>
        <v>STT TCL</v>
      </c>
      <c r="J77" t="str">
        <f>IFERROR(_xlfn.CONCAT((VLOOKUP($A77,'Consolidate List'!$A$2:$P$1048576,5,FALSE)),", ",VLOOKUP($A77,'Consolidate List'!$A$2:$P$1048576,6,FALSE)),"")</f>
        <v>Mumbai, Mumbai</v>
      </c>
      <c r="K77" t="str">
        <f>IFERROR(VLOOKUP($A77,'Consolidate List'!$A$2:$P$1048576,17,FALSE),"")</f>
        <v/>
      </c>
    </row>
    <row r="78" spans="1:11" x14ac:dyDescent="0.35">
      <c r="A78" t="str">
        <f>IFERROR(Tableau1[[#This Row],[ID Unique]],"")</f>
        <v>EQTSHK2CHK2</v>
      </c>
      <c r="B78" t="str">
        <f>IFERROR(VLOOKUP($A78,'Consolidate List'!$A$2:$P$1048576,15,FALSE),"")</f>
        <v>114.1192183</v>
      </c>
      <c r="C78" t="str">
        <f>IFERROR(VLOOKUP($A78,'Consolidate List'!$A$2:$P$1048576,16,FALSE),"")</f>
        <v>https://plazza.orange.com/docs/DOC-2345841</v>
      </c>
      <c r="D78" t="str">
        <f>IFERROR(VLOOKUP($A78,'Consolidate List'!$A$2:$P$1048576,8,FALSE),"")</f>
        <v>HKGD06</v>
      </c>
      <c r="F78" t="str">
        <f>IFERROR(VLOOKUP($A78,'Consolidate List'!$A$2:$P$1048576,12,FALSE),"")</f>
        <v>OUI</v>
      </c>
      <c r="G78" t="str">
        <f>IFERROR(VLOOKUP($A78,'Consolidate List'!$A$2:$P$1048576,11,FALSE),"")</f>
        <v>1 - Major</v>
      </c>
      <c r="H78" t="str">
        <f>IFERROR(VLOOKUP($A78,'Consolidate List'!$A$2:$P$1048576,9,FALSE),"")</f>
        <v>Equinix HK2 Data Centre, 17/F Kerry Warehouse, 3 Shing Yiu Street, Tsuen Wan, N.T.,Hong Kong</v>
      </c>
      <c r="I78" t="str">
        <f>IFERROR(VLOOKUP($A78,'Consolidate List'!$A$2:$P$1048576,10,FALSE),"")</f>
        <v>HK2</v>
      </c>
      <c r="J78" t="str">
        <f>IFERROR(_xlfn.CONCAT((VLOOKUP($A78,'Consolidate List'!$A$2:$P$1048576,5,FALSE)),", ",VLOOKUP($A78,'Consolidate List'!$A$2:$P$1048576,6,FALSE)),"")</f>
        <v>Hong Kong, Tsuen Wan</v>
      </c>
      <c r="K78" t="str">
        <f>IFERROR(VLOOKUP($A78,'Consolidate List'!$A$2:$P$1048576,17,FALSE),"")</f>
        <v/>
      </c>
    </row>
    <row r="79" spans="1:11" x14ac:dyDescent="0.35">
      <c r="A79" t="str">
        <f>IFERROR(Tableau1[[#This Row],[ID Unique]],"")</f>
        <v>ORWAHKGTCH01</v>
      </c>
      <c r="B79" t="str">
        <f>IFERROR(VLOOKUP($A79,'Consolidate List'!$A$2:$P$1048576,15,FALSE),"")</f>
        <v>114.170967</v>
      </c>
      <c r="C79" t="str">
        <f>IFERROR(VLOOKUP($A79,'Consolidate List'!$A$2:$P$1048576,16,FALSE),"")</f>
        <v>https://plazza.orange.com/docs/DOC-2345841</v>
      </c>
      <c r="D79" t="str">
        <f>IFERROR(VLOOKUP($A79,'Consolidate List'!$A$2:$P$1048576,8,FALSE),"")</f>
        <v>HKGF02</v>
      </c>
      <c r="F79" t="str">
        <f>IFERROR(VLOOKUP($A79,'Consolidate List'!$A$2:$P$1048576,12,FALSE),"")</f>
        <v>OUI</v>
      </c>
      <c r="G79" t="str">
        <f>IFERROR(VLOOKUP($A79,'Consolidate List'!$A$2:$P$1048576,11,FALSE),"")</f>
        <v>2 - Opportunistic</v>
      </c>
      <c r="H79" t="str">
        <f>IFERROR(VLOOKUP($A79,'Consolidate List'!$A$2:$P$1048576,9,FALSE),"")</f>
        <v>11/F, Telecom House, 3 Gloucester Road, Wanchai, Hong Kong</v>
      </c>
      <c r="I79" t="str">
        <f>IFERROR(VLOOKUP($A79,'Consolidate List'!$A$2:$P$1048576,10,FALSE),"")</f>
        <v>HKGT01</v>
      </c>
      <c r="J79" t="str">
        <f>IFERROR(_xlfn.CONCAT((VLOOKUP($A79,'Consolidate List'!$A$2:$P$1048576,5,FALSE)),", ",VLOOKUP($A79,'Consolidate List'!$A$2:$P$1048576,6,FALSE)),"")</f>
        <v>Hong Kong, Wanchai</v>
      </c>
      <c r="K79" t="str">
        <f>IFERROR(VLOOKUP($A79,'Consolidate List'!$A$2:$P$1048576,17,FALSE),"")</f>
        <v/>
      </c>
    </row>
    <row r="80" spans="1:11" x14ac:dyDescent="0.35">
      <c r="A80">
        <f>IFERROR(Tableau1[[#This Row],[ID Unique]],"")</f>
        <v>0</v>
      </c>
      <c r="B80" t="str">
        <f>IFERROR(VLOOKUP($A80,'Consolidate List'!$A$2:$P$1048576,15,FALSE),"")</f>
        <v/>
      </c>
      <c r="C80" t="str">
        <f>IFERROR(VLOOKUP($A80,'Consolidate List'!$A$2:$P$1048576,16,FALSE),"")</f>
        <v/>
      </c>
      <c r="D80" t="str">
        <f>IFERROR(VLOOKUP($A80,'Consolidate List'!$A$2:$P$1048576,8,FALSE),"")</f>
        <v/>
      </c>
      <c r="F80" t="str">
        <f>IFERROR(VLOOKUP($A80,'Consolidate List'!$A$2:$P$1048576,12,FALSE),"")</f>
        <v/>
      </c>
      <c r="G80" t="str">
        <f>IFERROR(VLOOKUP($A80,'Consolidate List'!$A$2:$P$1048576,11,FALSE),"")</f>
        <v/>
      </c>
      <c r="H80" t="str">
        <f>IFERROR(VLOOKUP($A80,'Consolidate List'!$A$2:$P$1048576,9,FALSE),"")</f>
        <v/>
      </c>
      <c r="I80" t="str">
        <f>IFERROR(VLOOKUP($A80,'Consolidate List'!$A$2:$P$1048576,10,FALSE),"")</f>
        <v/>
      </c>
      <c r="J80" t="str">
        <f>IFERROR(_xlfn.CONCAT((VLOOKUP($A80,'Consolidate List'!$A$2:$P$1048576,5,FALSE)),", ",VLOOKUP($A80,'Consolidate List'!$A$2:$P$1048576,6,FALSE)),"")</f>
        <v/>
      </c>
      <c r="K80" t="str">
        <f>IFERROR(VLOOKUP($A80,'Consolidate List'!$A$2:$P$1048576,17,FALSE),"")</f>
        <v/>
      </c>
    </row>
    <row r="81" spans="1:11" x14ac:dyDescent="0.35">
      <c r="A81" t="str">
        <f>IFERROR(Tableau1[[#This Row],[ID Unique]],"")</f>
        <v>EQSHSH2CHH2</v>
      </c>
      <c r="B81" t="str">
        <f>IFERROR(VLOOKUP($A81,'Consolidate List'!$A$2:$P$1048576,15,FALSE),"")</f>
        <v>121.62048</v>
      </c>
      <c r="C81" t="str">
        <f>IFERROR(VLOOKUP($A81,'Consolidate List'!$A$2:$P$1048576,16,FALSE),"")</f>
        <v>https://plazza.orange.com/docs/DOC-2345841</v>
      </c>
      <c r="D81" t="str">
        <f>IFERROR(VLOOKUP($A81,'Consolidate List'!$A$2:$P$1048576,8,FALSE),"")</f>
        <v>not found on GINI</v>
      </c>
      <c r="F81" t="str">
        <f>IFERROR(VLOOKUP($A81,'Consolidate List'!$A$2:$P$1048576,12,FALSE),"")</f>
        <v>OUI</v>
      </c>
      <c r="G81" t="str">
        <f>IFERROR(VLOOKUP($A81,'Consolidate List'!$A$2:$P$1048576,11,FALSE),"")</f>
        <v>2 - Opportunistic</v>
      </c>
      <c r="H81" t="str">
        <f>IFERROR(VLOOKUP($A81,'Consolidate List'!$A$2:$P$1048576,9,FALSE),"")</f>
        <v>Equinix SH2, Building No. 4, 700 Jinyu Road, Pudong New Area, Shanghai 201206</v>
      </c>
      <c r="I81" t="str">
        <f>IFERROR(VLOOKUP($A81,'Consolidate List'!$A$2:$P$1048576,10,FALSE),"")</f>
        <v>SH2</v>
      </c>
      <c r="J81" t="str">
        <f>IFERROR(_xlfn.CONCAT((VLOOKUP($A81,'Consolidate List'!$A$2:$P$1048576,5,FALSE)),", ",VLOOKUP($A81,'Consolidate List'!$A$2:$P$1048576,6,FALSE)),"")</f>
        <v>Shanghai, Shanghai</v>
      </c>
      <c r="K81" t="str">
        <f>IFERROR(VLOOKUP($A81,'Consolidate List'!$A$2:$P$1048576,17,FALSE),"")</f>
        <v/>
      </c>
    </row>
    <row r="82" spans="1:11" x14ac:dyDescent="0.35">
      <c r="A82" t="str">
        <f>IFERROR(Tableau1[[#This Row],[ID Unique]],"")</f>
        <v>EQSHSH3CHH3</v>
      </c>
      <c r="B82" t="str">
        <f>IFERROR(VLOOKUP($A82,'Consolidate List'!$A$2:$P$1048576,15,FALSE),"")</f>
        <v>121.62048</v>
      </c>
      <c r="C82" t="str">
        <f>IFERROR(VLOOKUP($A82,'Consolidate List'!$A$2:$P$1048576,16,FALSE),"")</f>
        <v>https://plazza.orange.com/docs/DOC-2345841</v>
      </c>
      <c r="D82" t="str">
        <f>IFERROR(VLOOKUP($A82,'Consolidate List'!$A$2:$P$1048576,8,FALSE),"")</f>
        <v>SHAH01</v>
      </c>
      <c r="F82" t="str">
        <f>IFERROR(VLOOKUP($A82,'Consolidate List'!$A$2:$P$1048576,12,FALSE),"")</f>
        <v>OUI</v>
      </c>
      <c r="G82" t="str">
        <f>IFERROR(VLOOKUP($A82,'Consolidate List'!$A$2:$P$1048576,11,FALSE),"")</f>
        <v>2 - Opportunistic</v>
      </c>
      <c r="H82" t="str">
        <f>IFERROR(VLOOKUP($A82,'Consolidate List'!$A$2:$P$1048576,9,FALSE),"")</f>
        <v>Equinix SH3 Data Centre, Building No. 3, 700 Jinyu Road, Pudong New Area, Shanghai 201206</v>
      </c>
      <c r="I82" t="str">
        <f>IFERROR(VLOOKUP($A82,'Consolidate List'!$A$2:$P$1048576,10,FALSE),"")</f>
        <v>SH3</v>
      </c>
      <c r="J82" t="str">
        <f>IFERROR(_xlfn.CONCAT((VLOOKUP($A82,'Consolidate List'!$A$2:$P$1048576,5,FALSE)),", ",VLOOKUP($A82,'Consolidate List'!$A$2:$P$1048576,6,FALSE)),"")</f>
        <v>Shanghai, Shanghai</v>
      </c>
      <c r="K82" t="str">
        <f>IFERROR(VLOOKUP($A82,'Consolidate List'!$A$2:$P$1048576,17,FALSE),"")</f>
        <v/>
      </c>
    </row>
    <row r="83" spans="1:11" x14ac:dyDescent="0.35">
      <c r="A83" t="str">
        <f>IFERROR(Tableau1[[#This Row],[ID Unique]],"")</f>
        <v>EQSHSH5CHH5</v>
      </c>
      <c r="B83" t="str">
        <f>IFERROR(VLOOKUP($A83,'Consolidate List'!$A$2:$P$1048576,15,FALSE),"")</f>
        <v>121.54721</v>
      </c>
      <c r="C83" t="str">
        <f>IFERROR(VLOOKUP($A83,'Consolidate List'!$A$2:$P$1048576,16,FALSE),"")</f>
        <v>https://plazza.orange.com/docs/DOC-2345841</v>
      </c>
      <c r="D83" t="str">
        <f>IFERROR(VLOOKUP($A83,'Consolidate List'!$A$2:$P$1048576,8,FALSE),"")</f>
        <v>SHAH02</v>
      </c>
      <c r="F83" t="str">
        <f>IFERROR(VLOOKUP($A83,'Consolidate List'!$A$2:$P$1048576,12,FALSE),"")</f>
        <v>OUI</v>
      </c>
      <c r="G83" t="str">
        <f>IFERROR(VLOOKUP($A83,'Consolidate List'!$A$2:$P$1048576,11,FALSE),"")</f>
        <v>2 - Opportunistic</v>
      </c>
      <c r="H83" t="str">
        <f>IFERROR(VLOOKUP($A83,'Consolidate List'!$A$2:$P$1048576,9,FALSE),"")</f>
        <v>New Address: 976 Shunping Road, Shanghai , 上海市顺平路976号</v>
      </c>
      <c r="I83" t="str">
        <f>IFERROR(VLOOKUP($A83,'Consolidate List'!$A$2:$P$1048576,10,FALSE),"")</f>
        <v>SH5</v>
      </c>
      <c r="J83" t="str">
        <f>IFERROR(_xlfn.CONCAT((VLOOKUP($A83,'Consolidate List'!$A$2:$P$1048576,5,FALSE)),", ",VLOOKUP($A83,'Consolidate List'!$A$2:$P$1048576,6,FALSE)),"")</f>
        <v>Shanghai, Shanghai</v>
      </c>
      <c r="K83" t="str">
        <f>IFERROR(VLOOKUP($A83,'Consolidate List'!$A$2:$P$1048576,17,FALSE),"")</f>
        <v/>
      </c>
    </row>
    <row r="84" spans="1:11" x14ac:dyDescent="0.35">
      <c r="A84" t="str">
        <f>IFERROR(Tableau1[[#This Row],[ID Unique]],"")</f>
        <v>SHSHIDX CHH3</v>
      </c>
      <c r="B84" t="str">
        <f>IFERROR(VLOOKUP($A84,'Consolidate List'!$A$2:$P$1048576,15,FALSE),"")</f>
        <v>121.587671</v>
      </c>
      <c r="C84" t="str">
        <f>IFERROR(VLOOKUP($A84,'Consolidate List'!$A$2:$P$1048576,16,FALSE),"")</f>
        <v>https://plazza.orange.com/docs/DOC-2345841</v>
      </c>
      <c r="D84" t="str">
        <f>IFERROR(VLOOKUP($A84,'Consolidate List'!$A$2:$P$1048576,8,FALSE),"")</f>
        <v>not found on GINI</v>
      </c>
      <c r="F84" t="str">
        <f>IFERROR(VLOOKUP($A84,'Consolidate List'!$A$2:$P$1048576,12,FALSE),"")</f>
        <v>OUI</v>
      </c>
      <c r="G84" t="str">
        <f>IFERROR(VLOOKUP($A84,'Consolidate List'!$A$2:$P$1048576,11,FALSE),"")</f>
        <v>2 - Opportunistic</v>
      </c>
      <c r="H84" t="str">
        <f>IFERROR(VLOOKUP($A84,'Consolidate List'!$A$2:$P$1048576,9,FALSE),"")</f>
        <v>Shanghai Data Solution Co.,Ltd, 3F,No.23 Building 498 Guoshoujing Rd. Shanghai Pudong Software Park, Zhangjiang High Technology Park Pu Dong P.R.China, 上海市浦东郭守敬路498号23号楼3楼 吴鸿豪 13310105096</v>
      </c>
      <c r="I84" t="str">
        <f>IFERROR(VLOOKUP($A84,'Consolidate List'!$A$2:$P$1048576,10,FALSE),"")</f>
        <v>IDX SH3</v>
      </c>
      <c r="J84" t="str">
        <f>IFERROR(_xlfn.CONCAT((VLOOKUP($A84,'Consolidate List'!$A$2:$P$1048576,5,FALSE)),", ",VLOOKUP($A84,'Consolidate List'!$A$2:$P$1048576,6,FALSE)),"")</f>
        <v>Shanghai, Shanghai</v>
      </c>
      <c r="K84" t="str">
        <f>IFERROR(VLOOKUP($A84,'Consolidate List'!$A$2:$P$1048576,17,FALSE),"")</f>
        <v/>
      </c>
    </row>
    <row r="85" spans="1:11" x14ac:dyDescent="0.35">
      <c r="A85" t="str">
        <f>IFERROR(Tableau1[[#This Row],[ID Unique]],"")</f>
        <v>NTBABENGINC2</v>
      </c>
      <c r="B85" t="str">
        <f>IFERROR(VLOOKUP($A85,'Consolidate List'!$A$2:$P$1048576,15,FALSE),"")</f>
        <v>77.6622838</v>
      </c>
      <c r="C85" t="str">
        <f>IFERROR(VLOOKUP($A85,'Consolidate List'!$A$2:$P$1048576,16,FALSE),"")</f>
        <v>https://plazza.orange.com/docs/DOC-857750</v>
      </c>
      <c r="D85" t="str">
        <f>IFERROR(VLOOKUP($A85,'Consolidate List'!$A$2:$P$1048576,8,FALSE),"")</f>
        <v>not found on GINI</v>
      </c>
      <c r="F85" t="str">
        <f>IFERROR(VLOOKUP($A85,'Consolidate List'!$A$2:$P$1048576,12,FALSE),"")</f>
        <v>OUI</v>
      </c>
      <c r="G85" t="str">
        <f>IFERROR(VLOOKUP($A85,'Consolidate List'!$A$2:$P$1048576,11,FALSE),"")</f>
        <v>2 - Opportunistic</v>
      </c>
      <c r="H85" t="str">
        <f>IFERROR(VLOOKUP($A85,'Consolidate List'!$A$2:$P$1048576,9,FALSE),"")</f>
        <v>NTT Netmagic Bengaluru Electronic City DC2 Data Centre, 88/A, S V R Platinum, Adjacent to K S S I D Complex, Electronic City, Phase I Bangalore, Karnataka - 560100, INDIA</v>
      </c>
      <c r="I85" t="str">
        <f>IFERROR(VLOOKUP($A85,'Consolidate List'!$A$2:$P$1048576,10,FALSE),"")</f>
        <v>Bengaluru DC2</v>
      </c>
      <c r="J85" t="str">
        <f>IFERROR(_xlfn.CONCAT((VLOOKUP($A85,'Consolidate List'!$A$2:$P$1048576,5,FALSE)),", ",VLOOKUP($A85,'Consolidate List'!$A$2:$P$1048576,6,FALSE)),"")</f>
        <v>Bangalore, Bangalore</v>
      </c>
      <c r="K85" t="str">
        <f>IFERROR(VLOOKUP($A85,'Consolidate List'!$A$2:$P$1048576,17,FALSE),"")</f>
        <v/>
      </c>
    </row>
    <row r="86" spans="1:11" x14ac:dyDescent="0.35">
      <c r="A86" t="str">
        <f>IFERROR(Tableau1[[#This Row],[ID Unique]],"")</f>
        <v>LGSESANGKOER</v>
      </c>
      <c r="B86" t="str">
        <f>IFERROR(VLOOKUP($A86,'Consolidate List'!$A$2:$P$1048576,15,FALSE),"")</f>
        <v>126.8868857</v>
      </c>
      <c r="C86">
        <f>IFERROR(VLOOKUP($A86,'Consolidate List'!$A$2:$P$1048576,16,FALSE),"")</f>
        <v>0</v>
      </c>
      <c r="D86" t="str">
        <f>IFERROR(VLOOKUP($A86,'Consolidate List'!$A$2:$P$1048576,8,FALSE),"")</f>
        <v>SELT02</v>
      </c>
      <c r="F86" t="str">
        <f>IFERROR(VLOOKUP($A86,'Consolidate List'!$A$2:$P$1048576,12,FALSE),"")</f>
        <v>NON</v>
      </c>
      <c r="G86" t="str">
        <f>IFERROR(VLOOKUP($A86,'Consolidate List'!$A$2:$P$1048576,11,FALSE),"")</f>
        <v>3 - Opportunistic not to promote</v>
      </c>
      <c r="H86" t="str">
        <f>IFERROR(VLOOKUP($A86,'Consolidate List'!$A$2:$P$1048576,9,FALSE),"")</f>
        <v>LG CNS Sangam IT Center, 4th floor 424 World cup buk-ro Mapo-gu,</v>
      </c>
      <c r="I86" t="str">
        <f>IFERROR(VLOOKUP($A86,'Consolidate List'!$A$2:$P$1048576,10,FALSE),"")</f>
        <v>Sangam IT Center</v>
      </c>
      <c r="J86" t="str">
        <f>IFERROR(_xlfn.CONCAT((VLOOKUP($A86,'Consolidate List'!$A$2:$P$1048576,5,FALSE)),", ",VLOOKUP($A86,'Consolidate List'!$A$2:$P$1048576,6,FALSE)),"")</f>
        <v>Seoul, Seoul</v>
      </c>
      <c r="K86" t="str">
        <f>IFERROR(VLOOKUP($A86,'Consolidate List'!$A$2:$P$1048576,17,FALSE),"")</f>
        <v/>
      </c>
    </row>
    <row r="87" spans="1:11" x14ac:dyDescent="0.35">
      <c r="A87" t="str">
        <f>IFERROR(Tableau1[[#This Row],[ID Unique]],"")</f>
        <v>ORRAORANMAEL</v>
      </c>
      <c r="B87" t="str">
        <f>IFERROR(VLOOKUP($A87,'Consolidate List'!$A$2:$P$1048576,15,FALSE),"")</f>
        <v>-6.8873077</v>
      </c>
      <c r="C87">
        <f>IFERROR(VLOOKUP($A87,'Consolidate List'!$A$2:$P$1048576,16,FALSE),"")</f>
        <v>0</v>
      </c>
      <c r="D87" t="str">
        <f>IFERROR(VLOOKUP($A87,'Consolidate List'!$A$2:$P$1048576,8,FALSE),"")</f>
        <v>RBAT02</v>
      </c>
      <c r="F87" t="str">
        <f>IFERROR(VLOOKUP($A87,'Consolidate List'!$A$2:$P$1048576,12,FALSE),"")</f>
        <v>NON</v>
      </c>
      <c r="G87" t="str">
        <f>IFERROR(VLOOKUP($A87,'Consolidate List'!$A$2:$P$1048576,11,FALSE),"")</f>
        <v>3 - Opportunistic not to promote</v>
      </c>
      <c r="H87" t="str">
        <f>IFERROR(VLOOKUP($A87,'Consolidate List'!$A$2:$P$1048576,9,FALSE),"")</f>
        <v>sis Lotissement Vita Nr. 7 Route de Casa Km 3.5 Yacoub Elmansour, Rabat Maroc</v>
      </c>
      <c r="I87" t="str">
        <f>IFERROR(VLOOKUP($A87,'Consolidate List'!$A$2:$P$1048576,10,FALSE),"")</f>
        <v>Orange Meditel</v>
      </c>
      <c r="J87" t="str">
        <f>IFERROR(_xlfn.CONCAT((VLOOKUP($A87,'Consolidate List'!$A$2:$P$1048576,5,FALSE)),", ",VLOOKUP($A87,'Consolidate List'!$A$2:$P$1048576,6,FALSE)),"")</f>
        <v>Rabat, Rabat</v>
      </c>
      <c r="K87" t="str">
        <f>IFERROR(VLOOKUP($A87,'Consolidate List'!$A$2:$P$1048576,17,FALSE),"")</f>
        <v/>
      </c>
    </row>
    <row r="88" spans="1:11" x14ac:dyDescent="0.35">
      <c r="A88" t="str">
        <f>IFERROR(Tableau1[[#This Row],[ID Unique]],"")</f>
        <v>NTOSNTT JAKA</v>
      </c>
      <c r="B88" t="str">
        <f>IFERROR(VLOOKUP($A88,'Consolidate List'!$A$2:$P$1048576,15,FALSE),"")</f>
        <v>135.491489</v>
      </c>
      <c r="C88" t="str">
        <f>IFERROR(VLOOKUP($A88,'Consolidate List'!$A$2:$P$1048576,16,FALSE),"")</f>
        <v>https://plazza.orange.com/docs/DOC-2345843</v>
      </c>
      <c r="D88" t="str">
        <f>IFERROR(VLOOKUP($A88,'Consolidate List'!$A$2:$P$1048576,8,FALSE),"")</f>
        <v>OSAT04</v>
      </c>
      <c r="F88" t="str">
        <f>IFERROR(VLOOKUP($A88,'Consolidate List'!$A$2:$P$1048576,12,FALSE),"")</f>
        <v>OUI</v>
      </c>
      <c r="G88" t="str">
        <f>IFERROR(VLOOKUP($A88,'Consolidate List'!$A$2:$P$1048576,11,FALSE),"")</f>
        <v>2 - Opportunistic</v>
      </c>
      <c r="H88" t="str">
        <f>IFERROR(VLOOKUP($A88,'Consolidate List'!$A$2:$P$1048576,9,FALSE),"")</f>
        <v>Dojima No.1 DC, 3-1-59 Dojima Kita-Ku, Osaka-shi, Osaka, Japan</v>
      </c>
      <c r="I88" t="str">
        <f>IFERROR(VLOOKUP($A88,'Consolidate List'!$A$2:$P$1048576,10,FALSE),"")</f>
        <v>NTT Osaka</v>
      </c>
      <c r="J88" t="str">
        <f>IFERROR(_xlfn.CONCAT((VLOOKUP($A88,'Consolidate List'!$A$2:$P$1048576,5,FALSE)),", ",VLOOKUP($A88,'Consolidate List'!$A$2:$P$1048576,6,FALSE)),"")</f>
        <v>Osaka, Osaka</v>
      </c>
      <c r="K88" t="str">
        <f>IFERROR(VLOOKUP($A88,'Consolidate List'!$A$2:$P$1048576,17,FALSE),"")</f>
        <v/>
      </c>
    </row>
    <row r="89" spans="1:11" x14ac:dyDescent="0.35">
      <c r="A89" t="str">
        <f>IFERROR(Tableau1[[#This Row],[ID Unique]],"")</f>
        <v>REMERED-MEIO</v>
      </c>
      <c r="B89" t="str">
        <f>IFERROR(VLOOKUP($A89,'Consolidate List'!$A$2:$P$1048576,15,FALSE),"")</f>
        <v>-99.1521738</v>
      </c>
      <c r="C89">
        <f>IFERROR(VLOOKUP($A89,'Consolidate List'!$A$2:$P$1048576,16,FALSE),"")</f>
        <v>0</v>
      </c>
      <c r="D89" t="str">
        <f>IFERROR(VLOOKUP($A89,'Consolidate List'!$A$2:$P$1048576,8,FALSE),"")</f>
        <v>not found on GINI</v>
      </c>
      <c r="F89" t="str">
        <f>IFERROR(VLOOKUP($A89,'Consolidate List'!$A$2:$P$1048576,12,FALSE),"")</f>
        <v>NON</v>
      </c>
      <c r="G89" t="str">
        <f>IFERROR(VLOOKUP($A89,'Consolidate List'!$A$2:$P$1048576,11,FALSE),"")</f>
        <v>3 - Opportunistic not to promote</v>
      </c>
      <c r="H89" t="str">
        <f>IFERROR(VLOOKUP($A89,'Consolidate List'!$A$2:$P$1048576,9,FALSE),"")</f>
        <v>RED-IT  20 Boulevard Benito Juarez, corner Avenida Lopez Portillo, Neighborhood San Mateo Cuautepec, Tultitlan, State of México, 54948</v>
      </c>
      <c r="I89" t="str">
        <f>IFERROR(VLOOKUP($A89,'Consolidate List'!$A$2:$P$1048576,10,FALSE),"")</f>
        <v>red-IT KIO</v>
      </c>
      <c r="J89" t="str">
        <f>IFERROR(_xlfn.CONCAT((VLOOKUP($A89,'Consolidate List'!$A$2:$P$1048576,5,FALSE)),", ",VLOOKUP($A89,'Consolidate List'!$A$2:$P$1048576,6,FALSE)),"")</f>
        <v>Mexico, Mexico</v>
      </c>
      <c r="K89" t="str">
        <f>IFERROR(VLOOKUP($A89,'Consolidate List'!$A$2:$P$1048576,17,FALSE),"")</f>
        <v/>
      </c>
    </row>
    <row r="90" spans="1:11" x14ac:dyDescent="0.35">
      <c r="A90" t="str">
        <f>IFERROR(Tableau1[[#This Row],[ID Unique]],"")</f>
        <v>EQOSOS1JAS1</v>
      </c>
      <c r="B90" t="str">
        <f>IFERROR(VLOOKUP($A90,'Consolidate List'!$A$2:$P$1048576,15,FALSE),"")</f>
        <v>135.4955913</v>
      </c>
      <c r="C90" t="str">
        <f>IFERROR(VLOOKUP($A90,'Consolidate List'!$A$2:$P$1048576,16,FALSE),"")</f>
        <v>https://plazza.orange.com/docs/DOC-2345843</v>
      </c>
      <c r="D90" t="str">
        <f>IFERROR(VLOOKUP($A90,'Consolidate List'!$A$2:$P$1048576,8,FALSE),"")</f>
        <v>not found on GINI</v>
      </c>
      <c r="F90" t="str">
        <f>IFERROR(VLOOKUP($A90,'Consolidate List'!$A$2:$P$1048576,12,FALSE),"")</f>
        <v>OUI</v>
      </c>
      <c r="G90" t="str">
        <f>IFERROR(VLOOKUP($A90,'Consolidate List'!$A$2:$P$1048576,11,FALSE),"")</f>
        <v>2 - Opportunistic</v>
      </c>
      <c r="H90" t="str">
        <f>IFERROR(VLOOKUP($A90,'Consolidate List'!$A$2:$P$1048576,9,FALSE),"")</f>
        <v>Equinix OS1, 1-26-1, Shinmachi, Nishi-ku, Nishi Shinsaibashi Building, Osaka, 550 0013 Japan</v>
      </c>
      <c r="I90" t="str">
        <f>IFERROR(VLOOKUP($A90,'Consolidate List'!$A$2:$P$1048576,10,FALSE),"")</f>
        <v>OS1</v>
      </c>
      <c r="J90" t="str">
        <f>IFERROR(_xlfn.CONCAT((VLOOKUP($A90,'Consolidate List'!$A$2:$P$1048576,5,FALSE)),", ",VLOOKUP($A90,'Consolidate List'!$A$2:$P$1048576,6,FALSE)),"")</f>
        <v>Osaka, Osaka</v>
      </c>
      <c r="K90" t="str">
        <f>IFERROR(VLOOKUP($A90,'Consolidate List'!$A$2:$P$1048576,17,FALSE),"")</f>
        <v/>
      </c>
    </row>
    <row r="91" spans="1:11" x14ac:dyDescent="0.35">
      <c r="A91" t="str">
        <f>IFERROR(Tableau1[[#This Row],[ID Unique]],"")</f>
        <v>EQTOTY6JAY6</v>
      </c>
      <c r="B91" t="str">
        <f>IFERROR(VLOOKUP($A91,'Consolidate List'!$A$2:$P$1048576,15,FALSE),"")</f>
        <v>139.748141</v>
      </c>
      <c r="C91" t="str">
        <f>IFERROR(VLOOKUP($A91,'Consolidate List'!$A$2:$P$1048576,16,FALSE),"")</f>
        <v>https://plazza.orange.com/docs/DOC-2345843</v>
      </c>
      <c r="D91" t="str">
        <f>IFERROR(VLOOKUP($A91,'Consolidate List'!$A$2:$P$1048576,8,FALSE),"")</f>
        <v>not found on GINI</v>
      </c>
      <c r="F91" t="str">
        <f>IFERROR(VLOOKUP($A91,'Consolidate List'!$A$2:$P$1048576,12,FALSE),"")</f>
        <v>OUI</v>
      </c>
      <c r="G91" t="str">
        <f>IFERROR(VLOOKUP($A91,'Consolidate List'!$A$2:$P$1048576,11,FALSE),"")</f>
        <v>2 - Opportunistic</v>
      </c>
      <c r="H91" t="str">
        <f>IFERROR(VLOOKUP($A91,'Consolidate List'!$A$2:$P$1048576,9,FALSE),"")</f>
        <v>Equinix TY6, 2-2-43, Higashi-Shinagawa,, Shinagawa-ku, Tokyo, 140 0002 Japan</v>
      </c>
      <c r="I91" t="str">
        <f>IFERROR(VLOOKUP($A91,'Consolidate List'!$A$2:$P$1048576,10,FALSE),"")</f>
        <v>TY6</v>
      </c>
      <c r="J91" t="str">
        <f>IFERROR(_xlfn.CONCAT((VLOOKUP($A91,'Consolidate List'!$A$2:$P$1048576,5,FALSE)),", ",VLOOKUP($A91,'Consolidate List'!$A$2:$P$1048576,6,FALSE)),"")</f>
        <v>Tokyo, Tokyo</v>
      </c>
      <c r="K91" t="str">
        <f>IFERROR(VLOOKUP($A91,'Consolidate List'!$A$2:$P$1048576,17,FALSE),"")</f>
        <v/>
      </c>
    </row>
    <row r="92" spans="1:11" x14ac:dyDescent="0.35">
      <c r="A92" t="str">
        <f>IFERROR(Tableau1[[#This Row],[ID Unique]],"")</f>
        <v>EQTOTY9JAY9</v>
      </c>
      <c r="B92" t="str">
        <f>IFERROR(VLOOKUP($A92,'Consolidate List'!$A$2:$P$1048576,15,FALSE),"")</f>
        <v>139.743887</v>
      </c>
      <c r="C92" t="str">
        <f>IFERROR(VLOOKUP($A92,'Consolidate List'!$A$2:$P$1048576,16,FALSE),"")</f>
        <v>https://plazza.orange.com/docs/DOC-2345843</v>
      </c>
      <c r="D92" t="str">
        <f>IFERROR(VLOOKUP($A92,'Consolidate List'!$A$2:$P$1048576,8,FALSE),"")</f>
        <v>not found on GINI</v>
      </c>
      <c r="F92" t="str">
        <f>IFERROR(VLOOKUP($A92,'Consolidate List'!$A$2:$P$1048576,12,FALSE),"")</f>
        <v>OUI</v>
      </c>
      <c r="G92" t="str">
        <f>IFERROR(VLOOKUP($A92,'Consolidate List'!$A$2:$P$1048576,11,FALSE),"")</f>
        <v>2 - Opportunistic</v>
      </c>
      <c r="H92" t="str">
        <f>IFERROR(VLOOKUP($A92,'Consolidate List'!$A$2:$P$1048576,9,FALSE),"")</f>
        <v>Equinix TY9 Data Centre, 1-12-3, Suidou, Bunkyo-ku, Tokyo, 112 0005 Japan</v>
      </c>
      <c r="I92" t="str">
        <f>IFERROR(VLOOKUP($A92,'Consolidate List'!$A$2:$P$1048576,10,FALSE),"")</f>
        <v>TY9</v>
      </c>
      <c r="J92" t="str">
        <f>IFERROR(_xlfn.CONCAT((VLOOKUP($A92,'Consolidate List'!$A$2:$P$1048576,5,FALSE)),", ",VLOOKUP($A92,'Consolidate List'!$A$2:$P$1048576,6,FALSE)),"")</f>
        <v>Tokyo, Tokyo</v>
      </c>
      <c r="K92" t="str">
        <f>IFERROR(VLOOKUP($A92,'Consolidate List'!$A$2:$P$1048576,17,FALSE),"")</f>
        <v/>
      </c>
    </row>
    <row r="93" spans="1:11" x14ac:dyDescent="0.35">
      <c r="A93" t="str">
        <f>IFERROR(Tableau1[[#This Row],[ID Unique]],"")</f>
        <v>EQTOTY8JAY8</v>
      </c>
      <c r="B93" t="str">
        <f>IFERROR(VLOOKUP($A93,'Consolidate List'!$A$2:$P$1048576,15,FALSE),"")</f>
        <v>139.7479207</v>
      </c>
      <c r="C93" t="str">
        <f>IFERROR(VLOOKUP($A93,'Consolidate List'!$A$2:$P$1048576,16,FALSE),"")</f>
        <v>https://plazza.orange.com/docs/DOC-2345843</v>
      </c>
      <c r="D93" t="str">
        <f>IFERROR(VLOOKUP($A93,'Consolidate List'!$A$2:$P$1048576,8,FALSE),"")</f>
        <v>TYOC22</v>
      </c>
      <c r="F93" t="str">
        <f>IFERROR(VLOOKUP($A93,'Consolidate List'!$A$2:$P$1048576,12,FALSE),"")</f>
        <v>OUI</v>
      </c>
      <c r="G93" t="str">
        <f>IFERROR(VLOOKUP($A93,'Consolidate List'!$A$2:$P$1048576,11,FALSE),"")</f>
        <v>2 - Opportunistic</v>
      </c>
      <c r="H93" t="str">
        <f>IFERROR(VLOOKUP($A93,'Consolidate List'!$A$2:$P$1048576,9,FALSE),"")</f>
        <v>Equinix TY8 Data Centre, 2-1-7, Higashi-Shinagawa, Shinagawa-ku, Tokyo, 140 0002, Japan</v>
      </c>
      <c r="I93" t="str">
        <f>IFERROR(VLOOKUP($A93,'Consolidate List'!$A$2:$P$1048576,10,FALSE),"")</f>
        <v>TY8</v>
      </c>
      <c r="J93" t="str">
        <f>IFERROR(_xlfn.CONCAT((VLOOKUP($A93,'Consolidate List'!$A$2:$P$1048576,5,FALSE)),", ",VLOOKUP($A93,'Consolidate List'!$A$2:$P$1048576,6,FALSE)),"")</f>
        <v>Tokyo, Tokyo</v>
      </c>
      <c r="K93" t="str">
        <f>IFERROR(VLOOKUP($A93,'Consolidate List'!$A$2:$P$1048576,17,FALSE),"")</f>
        <v/>
      </c>
    </row>
    <row r="94" spans="1:11" x14ac:dyDescent="0.35">
      <c r="A94" t="str">
        <f>IFERROR(Tableau1[[#This Row],[ID Unique]],"")</f>
        <v>NTTOTK5,JADC</v>
      </c>
      <c r="B94" t="str">
        <f>IFERROR(VLOOKUP($A94,'Consolidate List'!$A$2:$P$1048576,15,FALSE),"")</f>
        <v>139.7690773</v>
      </c>
      <c r="C94" t="str">
        <f>IFERROR(VLOOKUP($A94,'Consolidate List'!$A$2:$P$1048576,16,FALSE),"")</f>
        <v>https://plazza.orange.com/docs/DOC-2345843</v>
      </c>
      <c r="D94" t="str">
        <f>IFERROR(VLOOKUP($A94,'Consolidate List'!$A$2:$P$1048576,8,FALSE),"")</f>
        <v>TYOF06</v>
      </c>
      <c r="F94" t="str">
        <f>IFERROR(VLOOKUP($A94,'Consolidate List'!$A$2:$P$1048576,12,FALSE),"")</f>
        <v>OUI</v>
      </c>
      <c r="G94" t="str">
        <f>IFERROR(VLOOKUP($A94,'Consolidate List'!$A$2:$P$1048576,11,FALSE),"")</f>
        <v>2 - Opportunistic</v>
      </c>
      <c r="H94" t="str">
        <f>IFERROR(VLOOKUP($A94,'Consolidate List'!$A$2:$P$1048576,9,FALSE),"")</f>
        <v>NTT Tokyo No.5 DC, 3-15-2 Bunkyo-ku,Yushima,Tokyo 113-0034, Japan</v>
      </c>
      <c r="I94" t="str">
        <f>IFERROR(VLOOKUP($A94,'Consolidate List'!$A$2:$P$1048576,10,FALSE),"")</f>
        <v>TK5, Tokyo No.5 DC</v>
      </c>
      <c r="J94" t="str">
        <f>IFERROR(_xlfn.CONCAT((VLOOKUP($A94,'Consolidate List'!$A$2:$P$1048576,5,FALSE)),", ",VLOOKUP($A94,'Consolidate List'!$A$2:$P$1048576,6,FALSE)),"")</f>
        <v>Tokyo, Tokyo</v>
      </c>
      <c r="K94" t="str">
        <f>IFERROR(VLOOKUP($A94,'Consolidate List'!$A$2:$P$1048576,17,FALSE),"")</f>
        <v/>
      </c>
    </row>
    <row r="95" spans="1:11" x14ac:dyDescent="0.35">
      <c r="A95" t="str">
        <f>IFERROR(Tableau1[[#This Row],[ID Unique]],"")</f>
        <v>EQPISG2SIG2</v>
      </c>
      <c r="B95" t="str">
        <f>IFERROR(VLOOKUP($A95,'Consolidate List'!$A$2:$P$1048576,15,FALSE),"")</f>
        <v>103.6959206</v>
      </c>
      <c r="C95" t="str">
        <f>IFERROR(VLOOKUP($A95,'Consolidate List'!$A$2:$P$1048576,16,FALSE),"")</f>
        <v>https://plazza.orange.com/docs/DOC-1076994</v>
      </c>
      <c r="D95" t="str">
        <f>IFERROR(VLOOKUP($A95,'Consolidate List'!$A$2:$P$1048576,8,FALSE),"")</f>
        <v>SIND02</v>
      </c>
      <c r="F95" t="str">
        <f>IFERROR(VLOOKUP($A95,'Consolidate List'!$A$2:$P$1048576,12,FALSE),"")</f>
        <v>OUI</v>
      </c>
      <c r="G95" t="str">
        <f>IFERROR(VLOOKUP($A95,'Consolidate List'!$A$2:$P$1048576,11,FALSE),"")</f>
        <v>1 - Major</v>
      </c>
      <c r="H95" t="str">
        <f>IFERROR(VLOOKUP($A95,'Consolidate List'!$A$2:$P$1048576,9,FALSE),"")</f>
        <v>Equinix SG2 Datat Centre, 15 Pioneer Walk, Singapore 627753</v>
      </c>
      <c r="I95" t="str">
        <f>IFERROR(VLOOKUP($A95,'Consolidate List'!$A$2:$P$1048576,10,FALSE),"")</f>
        <v>SG2</v>
      </c>
      <c r="J95" t="str">
        <f>IFERROR(_xlfn.CONCAT((VLOOKUP($A95,'Consolidate List'!$A$2:$P$1048576,5,FALSE)),", ",VLOOKUP($A95,'Consolidate List'!$A$2:$P$1048576,6,FALSE)),"")</f>
        <v>Singapore, Pioneer Walk</v>
      </c>
      <c r="K95" t="str">
        <f>IFERROR(VLOOKUP($A95,'Consolidate List'!$A$2:$P$1048576,17,FALSE),"")</f>
        <v/>
      </c>
    </row>
    <row r="96" spans="1:11" x14ac:dyDescent="0.35">
      <c r="A96" t="str">
        <f>IFERROR(Tableau1[[#This Row],[ID Unique]],"")</f>
        <v>EQAYSG3SIG3</v>
      </c>
      <c r="B96" t="str">
        <f>IFERROR(VLOOKUP($A96,'Consolidate List'!$A$2:$P$1048576,15,FALSE),"")</f>
        <v>103.7908077</v>
      </c>
      <c r="C96" t="str">
        <f>IFERROR(VLOOKUP($A96,'Consolidate List'!$A$2:$P$1048576,16,FALSE),"")</f>
        <v>https://plazza.orange.com/docs/DOC-1076994</v>
      </c>
      <c r="D96" t="str">
        <f>IFERROR(VLOOKUP($A96,'Consolidate List'!$A$2:$P$1048576,8,FALSE),"")</f>
        <v>SIND03</v>
      </c>
      <c r="F96" t="str">
        <f>IFERROR(VLOOKUP($A96,'Consolidate List'!$A$2:$P$1048576,12,FALSE),"")</f>
        <v>OUI</v>
      </c>
      <c r="G96" t="str">
        <f>IFERROR(VLOOKUP($A96,'Consolidate List'!$A$2:$P$1048576,11,FALSE),"")</f>
        <v>1 - Major</v>
      </c>
      <c r="H96" t="str">
        <f>IFERROR(VLOOKUP($A96,'Consolidate List'!$A$2:$P$1048576,9,FALSE),"")</f>
        <v>Equinix SG3 Data Centre, 26A Ayer Rajah Crescent, 139963, Singapore</v>
      </c>
      <c r="I96" t="str">
        <f>IFERROR(VLOOKUP($A96,'Consolidate List'!$A$2:$P$1048576,10,FALSE),"")</f>
        <v>SG3</v>
      </c>
      <c r="J96" t="str">
        <f>IFERROR(_xlfn.CONCAT((VLOOKUP($A96,'Consolidate List'!$A$2:$P$1048576,5,FALSE)),", ",VLOOKUP($A96,'Consolidate List'!$A$2:$P$1048576,6,FALSE)),"")</f>
        <v>Singapore, Ayer Rajah Crescent</v>
      </c>
      <c r="K96" t="str">
        <f>IFERROR(VLOOKUP($A96,'Consolidate List'!$A$2:$P$1048576,17,FALSE),"")</f>
        <v/>
      </c>
    </row>
    <row r="97" spans="1:11" x14ac:dyDescent="0.35">
      <c r="A97" t="str">
        <f>IFERROR(Tableau1[[#This Row],[ID Unique]],"")</f>
        <v>INAMAMS2NES2</v>
      </c>
      <c r="B97" t="str">
        <f>IFERROR(VLOOKUP($A97,'Consolidate List'!$A$2:$P$1048576,15,FALSE),"")</f>
        <v>4.8423269</v>
      </c>
      <c r="C97">
        <f>IFERROR(VLOOKUP($A97,'Consolidate List'!$A$2:$P$1048576,16,FALSE),"")</f>
        <v>0</v>
      </c>
      <c r="D97" t="str">
        <f>IFERROR(VLOOKUP($A97,'Consolidate List'!$A$2:$P$1048576,8,FALSE),"")</f>
        <v>not found on GINI</v>
      </c>
      <c r="F97" t="str">
        <f>IFERROR(VLOOKUP($A97,'Consolidate List'!$A$2:$P$1048576,12,FALSE),"")</f>
        <v>NON</v>
      </c>
      <c r="G97" t="str">
        <f>IFERROR(VLOOKUP($A97,'Consolidate List'!$A$2:$P$1048576,11,FALSE),"")</f>
        <v>3 - Opportunistic not to promote</v>
      </c>
      <c r="H97" t="str">
        <f>IFERROR(VLOOKUP($A97,'Consolidate List'!$A$2:$P$1048576,9,FALSE),"")</f>
        <v>Digital Realty, Gyroscoopweg 58-60, 1042 Amsterdam, The Netherlands</v>
      </c>
      <c r="I97" t="str">
        <f>IFERROR(VLOOKUP($A97,'Consolidate List'!$A$2:$P$1048576,10,FALSE),"")</f>
        <v>AMS2</v>
      </c>
      <c r="J97" t="str">
        <f>IFERROR(_xlfn.CONCAT((VLOOKUP($A97,'Consolidate List'!$A$2:$P$1048576,5,FALSE)),", ",VLOOKUP($A97,'Consolidate List'!$A$2:$P$1048576,6,FALSE)),"")</f>
        <v>Amsterdam, Amsterdam</v>
      </c>
      <c r="K97" t="str">
        <f>IFERROR(VLOOKUP($A97,'Consolidate List'!$A$2:$P$1048576,17,FALSE),"")</f>
        <v/>
      </c>
    </row>
    <row r="98" spans="1:11" x14ac:dyDescent="0.35">
      <c r="A98" t="str">
        <f>IFERROR(Tableau1[[#This Row],[ID Unique]],"")</f>
        <v>INAMAMS5NES5</v>
      </c>
      <c r="B98" t="str">
        <f>IFERROR(VLOOKUP($A98,'Consolidate List'!$A$2:$P$1048576,15,FALSE),"")</f>
        <v>4.9431207</v>
      </c>
      <c r="C98">
        <f>IFERROR(VLOOKUP($A98,'Consolidate List'!$A$2:$P$1048576,16,FALSE),"")</f>
        <v>0</v>
      </c>
      <c r="D98" t="str">
        <f>IFERROR(VLOOKUP($A98,'Consolidate List'!$A$2:$P$1048576,8,FALSE),"")</f>
        <v>not found on GINI</v>
      </c>
      <c r="F98" t="str">
        <f>IFERROR(VLOOKUP($A98,'Consolidate List'!$A$2:$P$1048576,12,FALSE),"")</f>
        <v>NON</v>
      </c>
      <c r="G98" t="str">
        <f>IFERROR(VLOOKUP($A98,'Consolidate List'!$A$2:$P$1048576,11,FALSE),"")</f>
        <v>4 - Frozen</v>
      </c>
      <c r="H98" t="str">
        <f>IFERROR(VLOOKUP($A98,'Consolidate List'!$A$2:$P$1048576,9,FALSE),"")</f>
        <v>Digital Realty, Luttenbergweg 4, 1101 EC Amsterdam, Netherlands</v>
      </c>
      <c r="I98" t="str">
        <f>IFERROR(VLOOKUP($A98,'Consolidate List'!$A$2:$P$1048576,10,FALSE),"")</f>
        <v>AMS5</v>
      </c>
      <c r="J98" t="str">
        <f>IFERROR(_xlfn.CONCAT((VLOOKUP($A98,'Consolidate List'!$A$2:$P$1048576,5,FALSE)),", ",VLOOKUP($A98,'Consolidate List'!$A$2:$P$1048576,6,FALSE)),"")</f>
        <v>Amsterdam, Amsterdam</v>
      </c>
      <c r="K98" t="str">
        <f>IFERROR(VLOOKUP($A98,'Consolidate List'!$A$2:$P$1048576,17,FALSE),"")</f>
        <v/>
      </c>
    </row>
    <row r="99" spans="1:11" x14ac:dyDescent="0.35">
      <c r="A99" t="str">
        <f>IFERROR(Tableau1[[#This Row],[ID Unique]],"")</f>
        <v>NTAMAMS1NES1</v>
      </c>
      <c r="B99" t="str">
        <f>IFERROR(VLOOKUP($A99,'Consolidate List'!$A$2:$P$1048576,15,FALSE),"")</f>
        <v>4.7449956</v>
      </c>
      <c r="C99">
        <f>IFERROR(VLOOKUP($A99,'Consolidate List'!$A$2:$P$1048576,16,FALSE),"")</f>
        <v>0</v>
      </c>
      <c r="D99" t="str">
        <f>IFERROR(VLOOKUP($A99,'Consolidate List'!$A$2:$P$1048576,8,FALSE),"")</f>
        <v>not found on GINI</v>
      </c>
      <c r="F99" t="str">
        <f>IFERROR(VLOOKUP($A99,'Consolidate List'!$A$2:$P$1048576,12,FALSE),"")</f>
        <v>NON</v>
      </c>
      <c r="G99" t="str">
        <f>IFERROR(VLOOKUP($A99,'Consolidate List'!$A$2:$P$1048576,11,FALSE),"")</f>
        <v>5 - Closed</v>
      </c>
      <c r="H99" t="str">
        <f>IFERROR(VLOOKUP($A99,'Consolidate List'!$A$2:$P$1048576,9,FALSE),"")</f>
        <v>NTT AMS1 e-shelter Amsterdam 1 Data Center, Aviolanda 1, 1437 ED Rozenburg, Pays-Bas</v>
      </c>
      <c r="I99" t="str">
        <f>IFERROR(VLOOKUP($A99,'Consolidate List'!$A$2:$P$1048576,10,FALSE),"")</f>
        <v>AMS1</v>
      </c>
      <c r="J99" t="str">
        <f>IFERROR(_xlfn.CONCAT((VLOOKUP($A99,'Consolidate List'!$A$2:$P$1048576,5,FALSE)),", ",VLOOKUP($A99,'Consolidate List'!$A$2:$P$1048576,6,FALSE)),"")</f>
        <v>Amsterdam, Amsterdam</v>
      </c>
      <c r="K99" t="str">
        <f>IFERROR(VLOOKUP($A99,'Consolidate List'!$A$2:$P$1048576,17,FALSE),"")</f>
        <v/>
      </c>
    </row>
    <row r="100" spans="1:11" x14ac:dyDescent="0.35">
      <c r="A100" t="str">
        <f>IFERROR(Tableau1[[#This Row],[ID Unique]],"")</f>
        <v>COLOLA2UNA2</v>
      </c>
      <c r="B100" t="str">
        <f>IFERROR(VLOOKUP($A100,'Consolidate List'!$A$2:$P$1048576,15,FALSE),"")</f>
        <v>-118.2353984</v>
      </c>
      <c r="C100">
        <f>IFERROR(VLOOKUP($A100,'Consolidate List'!$A$2:$P$1048576,16,FALSE),"")</f>
        <v>0</v>
      </c>
      <c r="D100" t="str">
        <f>IFERROR(VLOOKUP($A100,'Consolidate List'!$A$2:$P$1048576,8,FALSE),"")</f>
        <v>LAXL02</v>
      </c>
      <c r="F100" t="str">
        <f>IFERROR(VLOOKUP($A100,'Consolidate List'!$A$2:$P$1048576,12,FALSE),"")</f>
        <v>NON</v>
      </c>
      <c r="G100" t="str">
        <f>IFERROR(VLOOKUP($A100,'Consolidate List'!$A$2:$P$1048576,11,FALSE),"")</f>
        <v>5 - Closed</v>
      </c>
      <c r="H100" t="str">
        <f>IFERROR(VLOOKUP($A100,'Consolidate List'!$A$2:$P$1048576,9,FALSE),"")</f>
        <v>900 North Alameda Street, 90012, Los Angeles</v>
      </c>
      <c r="I100" t="str">
        <f>IFERROR(VLOOKUP($A100,'Consolidate List'!$A$2:$P$1048576,10,FALSE),"")</f>
        <v>LA2</v>
      </c>
      <c r="J100" t="str">
        <f>IFERROR(_xlfn.CONCAT((VLOOKUP($A100,'Consolidate List'!$A$2:$P$1048576,5,FALSE)),", ",VLOOKUP($A100,'Consolidate List'!$A$2:$P$1048576,6,FALSE)),"")</f>
        <v>California, Los Angeles</v>
      </c>
      <c r="K100" t="str">
        <f>IFERROR(VLOOKUP($A100,'Consolidate List'!$A$2:$P$1048576,17,FALSE),"")</f>
        <v/>
      </c>
    </row>
    <row r="101" spans="1:11" x14ac:dyDescent="0.35">
      <c r="A101" t="str">
        <f>IFERROR(Tableau1[[#This Row],[ID Unique]],"")</f>
        <v>OROSOSLONO01</v>
      </c>
      <c r="B101" t="str">
        <f>IFERROR(VLOOKUP($A101,'Consolidate List'!$A$2:$P$1048576,15,FALSE),"")</f>
        <v>10.8089642</v>
      </c>
      <c r="C101">
        <f>IFERROR(VLOOKUP($A101,'Consolidate List'!$A$2:$P$1048576,16,FALSE),"")</f>
        <v>0</v>
      </c>
      <c r="D101" t="str">
        <f>IFERROR(VLOOKUP($A101,'Consolidate List'!$A$2:$P$1048576,8,FALSE),"")</f>
        <v>OSL4</v>
      </c>
      <c r="F101" t="str">
        <f>IFERROR(VLOOKUP($A101,'Consolidate List'!$A$2:$P$1048576,12,FALSE),"")</f>
        <v>NON</v>
      </c>
      <c r="G101" t="str">
        <f>IFERROR(VLOOKUP($A101,'Consolidate List'!$A$2:$P$1048576,11,FALSE),"")</f>
        <v>3 - Opportunistic not to promote</v>
      </c>
      <c r="H101" t="str">
        <f>IFERROR(VLOOKUP($A101,'Consolidate List'!$A$2:$P$1048576,9,FALSE),"")</f>
        <v>Selma Ellefsens vei 1, 0581 Oslo, Norway</v>
      </c>
      <c r="I101" t="str">
        <f>IFERROR(VLOOKUP($A101,'Consolidate List'!$A$2:$P$1048576,10,FALSE),"")</f>
        <v>oslo01</v>
      </c>
      <c r="J101" t="str">
        <f>IFERROR(_xlfn.CONCAT((VLOOKUP($A101,'Consolidate List'!$A$2:$P$1048576,5,FALSE)),", ",VLOOKUP($A101,'Consolidate List'!$A$2:$P$1048576,6,FALSE)),"")</f>
        <v>Oslo, Oslo</v>
      </c>
      <c r="K101" t="str">
        <f>IFERROR(VLOOKUP($A101,'Consolidate List'!$A$2:$P$1048576,17,FALSE),"")</f>
        <v/>
      </c>
    </row>
    <row r="102" spans="1:11" x14ac:dyDescent="0.35">
      <c r="A102" t="str">
        <f>IFERROR(Tableau1[[#This Row],[ID Unique]],"")</f>
        <v>KDCHKDDISISG</v>
      </c>
      <c r="B102" t="str">
        <f>IFERROR(VLOOKUP($A102,'Consolidate List'!$A$2:$P$1048576,15,FALSE),"")</f>
        <v>103.9208339</v>
      </c>
      <c r="C102" t="str">
        <f>IFERROR(VLOOKUP($A102,'Consolidate List'!$A$2:$P$1048576,16,FALSE),"")</f>
        <v>https://plazza.orange.com/docs/DOC-516902</v>
      </c>
      <c r="D102" t="str">
        <f>IFERROR(VLOOKUP($A102,'Consolidate List'!$A$2:$P$1048576,8,FALSE),"")</f>
        <v>SINH02</v>
      </c>
      <c r="F102" t="str">
        <f>IFERROR(VLOOKUP($A102,'Consolidate List'!$A$2:$P$1048576,12,FALSE),"")</f>
        <v>OUI</v>
      </c>
      <c r="G102" t="str">
        <f>IFERROR(VLOOKUP($A102,'Consolidate List'!$A$2:$P$1048576,11,FALSE),"")</f>
        <v>1 - Major</v>
      </c>
      <c r="H102" t="str">
        <f>IFERROR(VLOOKUP($A102,'Consolidate List'!$A$2:$P$1048576,9,FALSE),"")</f>
        <v>KDDI Singapore Pte. Ltd., Block 750D, Chai Chee Road, #05-04/05 ESR BizPark @ Chai Chee
Singapore 469004</v>
      </c>
      <c r="I102" t="str">
        <f>IFERROR(VLOOKUP($A102,'Consolidate List'!$A$2:$P$1048576,10,FALSE),"")</f>
        <v>KDDI SG</v>
      </c>
      <c r="J102" t="str">
        <f>IFERROR(_xlfn.CONCAT((VLOOKUP($A102,'Consolidate List'!$A$2:$P$1048576,5,FALSE)),", ",VLOOKUP($A102,'Consolidate List'!$A$2:$P$1048576,6,FALSE)),"")</f>
        <v>Singapore, Chai Chee</v>
      </c>
      <c r="K102" t="str">
        <f>IFERROR(VLOOKUP($A102,'Consolidate List'!$A$2:$P$1048576,17,FALSE),"")</f>
        <v/>
      </c>
    </row>
    <row r="103" spans="1:11" x14ac:dyDescent="0.35">
      <c r="A103" t="str">
        <f>IFERROR(Tableau1[[#This Row],[ID Unique]],"")</f>
        <v>NTSENTT SISG</v>
      </c>
      <c r="B103" t="str">
        <f>IFERROR(VLOOKUP($A103,'Consolidate List'!$A$2:$P$1048576,15,FALSE),"")</f>
        <v>103.875093</v>
      </c>
      <c r="C103" t="str">
        <f>IFERROR(VLOOKUP($A103,'Consolidate List'!$A$2:$P$1048576,16,FALSE),"")</f>
        <v>https://plazza.orange.com/docs/DOC-864043</v>
      </c>
      <c r="D103" t="str">
        <f>IFERROR(VLOOKUP($A103,'Consolidate List'!$A$2:$P$1048576,8,FALSE),"")</f>
        <v>SIND01</v>
      </c>
      <c r="F103" t="str">
        <f>IFERROR(VLOOKUP($A103,'Consolidate List'!$A$2:$P$1048576,12,FALSE),"")</f>
        <v>OUI</v>
      </c>
      <c r="G103" t="str">
        <f>IFERROR(VLOOKUP($A103,'Consolidate List'!$A$2:$P$1048576,11,FALSE),"")</f>
        <v>1 - Major</v>
      </c>
      <c r="H103" t="str">
        <f>IFERROR(VLOOKUP($A103,'Consolidate List'!$A$2:$P$1048576,9,FALSE),"")</f>
        <v>NTT Serangoon Data Centre, 51 Serangoon North Avenue 4, Singapore 555858</v>
      </c>
      <c r="I103" t="str">
        <f>IFERROR(VLOOKUP($A103,'Consolidate List'!$A$2:$P$1048576,10,FALSE),"")</f>
        <v>NTT SG</v>
      </c>
      <c r="J103" t="str">
        <f>IFERROR(_xlfn.CONCAT((VLOOKUP($A103,'Consolidate List'!$A$2:$P$1048576,5,FALSE)),", ",VLOOKUP($A103,'Consolidate List'!$A$2:$P$1048576,6,FALSE)),"")</f>
        <v>Singapore, Serangoon</v>
      </c>
      <c r="K103" t="str">
        <f>IFERROR(VLOOKUP($A103,'Consolidate List'!$A$2:$P$1048576,17,FALSE),"")</f>
        <v/>
      </c>
    </row>
    <row r="104" spans="1:11" x14ac:dyDescent="0.35">
      <c r="A104" t="str">
        <f>IFERROR(Tableau1[[#This Row],[ID Unique]],"")</f>
        <v>ORBUBUCAROIA</v>
      </c>
      <c r="B104" t="str">
        <f>IFERROR(VLOOKUP($A104,'Consolidate List'!$A$2:$P$1048576,15,FALSE),"")</f>
        <v>26.1022658</v>
      </c>
      <c r="C104">
        <f>IFERROR(VLOOKUP($A104,'Consolidate List'!$A$2:$P$1048576,16,FALSE),"")</f>
        <v>0</v>
      </c>
      <c r="D104" t="str">
        <f>IFERROR(VLOOKUP($A104,'Consolidate List'!$A$2:$P$1048576,8,FALSE),"")</f>
        <v>to be determined with GINI</v>
      </c>
      <c r="F104" t="str">
        <f>IFERROR(VLOOKUP($A104,'Consolidate List'!$A$2:$P$1048576,12,FALSE),"")</f>
        <v>NON</v>
      </c>
      <c r="G104" t="str">
        <f>IFERROR(VLOOKUP($A104,'Consolidate List'!$A$2:$P$1048576,11,FALSE),"")</f>
        <v>3 - Opportunistic not to promote</v>
      </c>
      <c r="H104" t="str">
        <f>IFERROR(VLOOKUP($A104,'Consolidate List'!$A$2:$P$1048576,9,FALSE),"")</f>
        <v>Orange Romania SA, Strada Barbu Văcărescu nr. 201A, etaj 1, București 020276</v>
      </c>
      <c r="I104" t="str">
        <f>IFERROR(VLOOKUP($A104,'Consolidate List'!$A$2:$P$1048576,10,FALSE),"")</f>
        <v>Bucarest - Orange Romania</v>
      </c>
      <c r="J104" t="str">
        <f>IFERROR(_xlfn.CONCAT((VLOOKUP($A104,'Consolidate List'!$A$2:$P$1048576,5,FALSE)),", ",VLOOKUP($A104,'Consolidate List'!$A$2:$P$1048576,6,FALSE)),"")</f>
        <v>Bucarest, Bucarest</v>
      </c>
      <c r="K104" t="str">
        <f>IFERROR(VLOOKUP($A104,'Consolidate List'!$A$2:$P$1048576,17,FALSE),"")</f>
        <v/>
      </c>
    </row>
    <row r="105" spans="1:11" x14ac:dyDescent="0.35">
      <c r="A105" t="str">
        <f>IFERROR(Tableau1[[#This Row],[ID Unique]],"")</f>
        <v>EQAYSG1SIG1</v>
      </c>
      <c r="B105" t="str">
        <f>IFERROR(VLOOKUP($A105,'Consolidate List'!$A$2:$P$1048576,15,FALSE),"")</f>
        <v>103.7898559</v>
      </c>
      <c r="C105" t="str">
        <f>IFERROR(VLOOKUP($A105,'Consolidate List'!$A$2:$P$1048576,16,FALSE),"")</f>
        <v>https://plazza.orange.com/docs/DOC-1076994</v>
      </c>
      <c r="D105" t="str">
        <f>IFERROR(VLOOKUP($A105,'Consolidate List'!$A$2:$P$1048576,8,FALSE),"")</f>
        <v>SINF11</v>
      </c>
      <c r="F105" t="str">
        <f>IFERROR(VLOOKUP($A105,'Consolidate List'!$A$2:$P$1048576,12,FALSE),"")</f>
        <v>OUI</v>
      </c>
      <c r="G105" t="str">
        <f>IFERROR(VLOOKUP($A105,'Consolidate List'!$A$2:$P$1048576,11,FALSE),"")</f>
        <v>2 - Opportunistic</v>
      </c>
      <c r="H105" t="str">
        <f>IFERROR(VLOOKUP($A105,'Consolidate List'!$A$2:$P$1048576,9,FALSE),"")</f>
        <v>Equinix SG1 Data Centre, 20 Ayer Rajah Crescent, 139963, Singapore</v>
      </c>
      <c r="I105" t="str">
        <f>IFERROR(VLOOKUP($A105,'Consolidate List'!$A$2:$P$1048576,10,FALSE),"")</f>
        <v>SG1</v>
      </c>
      <c r="J105" t="str">
        <f>IFERROR(_xlfn.CONCAT((VLOOKUP($A105,'Consolidate List'!$A$2:$P$1048576,5,FALSE)),", ",VLOOKUP($A105,'Consolidate List'!$A$2:$P$1048576,6,FALSE)),"")</f>
        <v>Singapore, Ayer Rajah Crescent</v>
      </c>
      <c r="K105" t="str">
        <f>IFERROR(VLOOKUP($A105,'Consolidate List'!$A$2:$P$1048576,17,FALSE),"")</f>
        <v/>
      </c>
    </row>
    <row r="106" spans="1:11" x14ac:dyDescent="0.35">
      <c r="A106" t="str">
        <f>IFERROR(Tableau1[[#This Row],[ID Unique]],"")</f>
        <v>EQATAT2UNT2</v>
      </c>
      <c r="B106" t="str">
        <f>IFERROR(VLOOKUP($A106,'Consolidate List'!$A$2:$P$1048576,15,FALSE),"")</f>
        <v>-84.3914602</v>
      </c>
      <c r="C106">
        <f>IFERROR(VLOOKUP($A106,'Consolidate List'!$A$2:$P$1048576,16,FALSE),"")</f>
        <v>0</v>
      </c>
      <c r="D106" t="str">
        <f>IFERROR(VLOOKUP($A106,'Consolidate List'!$A$2:$P$1048576,8,FALSE),"")</f>
        <v>ATLL01</v>
      </c>
      <c r="F106" t="str">
        <f>IFERROR(VLOOKUP($A106,'Consolidate List'!$A$2:$P$1048576,12,FALSE),"")</f>
        <v>NON</v>
      </c>
      <c r="G106" t="str">
        <f>IFERROR(VLOOKUP($A106,'Consolidate List'!$A$2:$P$1048576,11,FALSE),"")</f>
        <v>5 - Closed</v>
      </c>
      <c r="H106" t="str">
        <f>IFERROR(VLOOKUP($A106,'Consolidate List'!$A$2:$P$1048576,9,FALSE),"")</f>
        <v>56 Marietta Street NW
Atlanta, GA 30303</v>
      </c>
      <c r="I106" t="str">
        <f>IFERROR(VLOOKUP($A106,'Consolidate List'!$A$2:$P$1048576,10,FALSE),"")</f>
        <v>AT2</v>
      </c>
      <c r="J106" t="str">
        <f>IFERROR(_xlfn.CONCAT((VLOOKUP($A106,'Consolidate List'!$A$2:$P$1048576,5,FALSE)),", ",VLOOKUP($A106,'Consolidate List'!$A$2:$P$1048576,6,FALSE)),"")</f>
        <v>Atlanta, Atlanta</v>
      </c>
      <c r="K106" t="str">
        <f>IFERROR(VLOOKUP($A106,'Consolidate List'!$A$2:$P$1048576,17,FALSE),"")</f>
        <v/>
      </c>
    </row>
    <row r="107" spans="1:11" x14ac:dyDescent="0.35">
      <c r="A107" t="str">
        <f>IFERROR(Tableau1[[#This Row],[ID Unique]],"")</f>
        <v>EQMUMB4INB4</v>
      </c>
      <c r="B107">
        <f>IFERROR(VLOOKUP($A107,'Consolidate List'!$A$2:$P$1048576,15,FALSE),"")</f>
        <v>72.999899999999997</v>
      </c>
      <c r="C107" t="str">
        <f>IFERROR(VLOOKUP($A107,'Consolidate List'!$A$2:$P$1048576,16,FALSE),"")</f>
        <v>To be done</v>
      </c>
      <c r="D107" t="str">
        <f>IFERROR(VLOOKUP($A107,'Consolidate List'!$A$2:$P$1048576,8,FALSE),"")</f>
        <v>not found on GINI</v>
      </c>
      <c r="F107" t="str">
        <f>IFERROR(VLOOKUP($A107,'Consolidate List'!$A$2:$P$1048576,12,FALSE),"")</f>
        <v>OUI</v>
      </c>
      <c r="G107" t="str">
        <f>IFERROR(VLOOKUP($A107,'Consolidate List'!$A$2:$P$1048576,11,FALSE),"")</f>
        <v>2 - Opportunistic</v>
      </c>
      <c r="H107" t="str">
        <f>IFERROR(VLOOKUP($A107,'Consolidate List'!$A$2:$P$1048576,9,FALSE),"")</f>
        <v>Plot 5, Thane Airoli Road, Mumbai, India, 400708</v>
      </c>
      <c r="I107" t="str">
        <f>IFERROR(VLOOKUP($A107,'Consolidate List'!$A$2:$P$1048576,10,FALSE),"")</f>
        <v>MB4</v>
      </c>
      <c r="J107" t="str">
        <f>IFERROR(_xlfn.CONCAT((VLOOKUP($A107,'Consolidate List'!$A$2:$P$1048576,5,FALSE)),", ",VLOOKUP($A107,'Consolidate List'!$A$2:$P$1048576,6,FALSE)),"")</f>
        <v>Mumbai, Mumbai</v>
      </c>
      <c r="K107" t="str">
        <f>IFERROR(VLOOKUP($A107,'Consolidate List'!$A$2:$P$1048576,17,FALSE),"")</f>
        <v/>
      </c>
    </row>
    <row r="108" spans="1:11" x14ac:dyDescent="0.35">
      <c r="A108" t="str">
        <f>IFERROR(Tableau1[[#This Row],[ID Unique]],"")</f>
        <v>EQALSY5AUY5</v>
      </c>
      <c r="B108">
        <f>IFERROR(VLOOKUP($A108,'Consolidate List'!$A$2:$P$1048576,15,FALSE),"")</f>
        <v>151.18969999999999</v>
      </c>
      <c r="C108" t="str">
        <f>IFERROR(VLOOKUP($A108,'Consolidate List'!$A$2:$P$1048576,16,FALSE),"")</f>
        <v>To be done</v>
      </c>
      <c r="D108" t="str">
        <f>IFERROR(VLOOKUP($A108,'Consolidate List'!$A$2:$P$1048576,8,FALSE),"")</f>
        <v>not found on GINI</v>
      </c>
      <c r="F108" t="str">
        <f>IFERROR(VLOOKUP($A108,'Consolidate List'!$A$2:$P$1048576,12,FALSE),"")</f>
        <v>OUI</v>
      </c>
      <c r="G108" t="str">
        <f>IFERROR(VLOOKUP($A108,'Consolidate List'!$A$2:$P$1048576,11,FALSE),"")</f>
        <v>2 - Opportunistic</v>
      </c>
      <c r="H108" t="str">
        <f>IFERROR(VLOOKUP($A108,'Consolidate List'!$A$2:$P$1048576,9,FALSE),"")</f>
        <v>Equinix SY5 Data Centre, Unit B, 200 Bourke Road, Alexandria, Sydney, Australia, NSW 2015</v>
      </c>
      <c r="I108" t="str">
        <f>IFERROR(VLOOKUP($A108,'Consolidate List'!$A$2:$P$1048576,10,FALSE),"")</f>
        <v>SY5</v>
      </c>
      <c r="J108" t="str">
        <f>IFERROR(_xlfn.CONCAT((VLOOKUP($A108,'Consolidate List'!$A$2:$P$1048576,5,FALSE)),", ",VLOOKUP($A108,'Consolidate List'!$A$2:$P$1048576,6,FALSE)),"")</f>
        <v>Sydney, Alexandria</v>
      </c>
      <c r="K108" t="str">
        <f>IFERROR(VLOOKUP($A108,'Consolidate List'!$A$2:$P$1048576,17,FALSE),"")</f>
        <v/>
      </c>
    </row>
    <row r="109" spans="1:11" x14ac:dyDescent="0.35">
      <c r="A109" t="str">
        <f>IFERROR(Tableau1[[#This Row],[ID Unique]],"")</f>
        <v>BRABBRIGUNDC</v>
      </c>
      <c r="B109" t="str">
        <f>IFERROR(VLOOKUP($A109,'Consolidate List'!$A$2:$P$1048576,15,FALSE),"")</f>
        <v>-2.0937528</v>
      </c>
      <c r="C109" t="str">
        <f>IFERROR(VLOOKUP($A109,'Consolidate List'!$A$2:$P$1048576,16,FALSE),"")</f>
        <v>https://orange0.sharepoint.com/sites/OBDCProximityServicesFieldOperationsRules/SitePages/BrightSolid-DataCenters-in-United-Kingdom.aspx</v>
      </c>
      <c r="D109" t="str">
        <f>IFERROR(VLOOKUP($A109,'Consolidate List'!$A$2:$P$1048576,8,FALSE),"")</f>
        <v>to be determined with GINI</v>
      </c>
      <c r="F109" t="str">
        <f>IFERROR(VLOOKUP($A109,'Consolidate List'!$A$2:$P$1048576,12,FALSE),"")</f>
        <v>OUI</v>
      </c>
      <c r="G109" t="str">
        <f>IFERROR(VLOOKUP($A109,'Consolidate List'!$A$2:$P$1048576,11,FALSE),"")</f>
        <v>2 - Opportunistic</v>
      </c>
      <c r="H109" t="str">
        <f>IFERROR(VLOOKUP($A109,'Consolidate List'!$A$2:$P$1048576,9,FALSE),"")</f>
        <v xml:space="preserve">BrightSolid Journal Ltd., Aberdeen AB15 6DF, United Kingdom </v>
      </c>
      <c r="I109" t="str">
        <f>IFERROR(VLOOKUP($A109,'Consolidate List'!$A$2:$P$1048576,10,FALSE),"")</f>
        <v>Brightsolid DC</v>
      </c>
      <c r="J109" t="str">
        <f>IFERROR(_xlfn.CONCAT((VLOOKUP($A109,'Consolidate List'!$A$2:$P$1048576,5,FALSE)),", ",VLOOKUP($A109,'Consolidate List'!$A$2:$P$1048576,6,FALSE)),"")</f>
        <v>Scotland, Aberdeen</v>
      </c>
      <c r="K109" t="str">
        <f>IFERROR(VLOOKUP($A109,'Consolidate List'!$A$2:$P$1048576,17,FALSE),"")</f>
        <v/>
      </c>
    </row>
    <row r="110" spans="1:11" x14ac:dyDescent="0.35">
      <c r="A110" t="str">
        <f>IFERROR(Tableau1[[#This Row],[ID Unique]],"")</f>
        <v>DIMAMRS3FRS3</v>
      </c>
      <c r="B110" t="str">
        <f>IFERROR(VLOOKUP($A110,'Consolidate List'!$A$2:$P$1048576,15,FALSE),"")</f>
        <v>5.347538999999999</v>
      </c>
      <c r="C110" t="str">
        <f>IFERROR(VLOOKUP($A110,'Consolidate List'!$A$2:$P$1048576,16,FALSE),"")</f>
        <v>https://orange0.sharepoint.com/sites/OBDCProximityServicesFieldOperationsRules/SitePages/Digital-Realty-DataCenters-in-Marseille.aspx</v>
      </c>
      <c r="D110" t="str">
        <f>IFERROR(VLOOKUP($A110,'Consolidate List'!$A$2:$P$1048576,8,FALSE),"")</f>
        <v>not found on GINI</v>
      </c>
      <c r="F110" t="str">
        <f>IFERROR(VLOOKUP($A110,'Consolidate List'!$A$2:$P$1048576,12,FALSE),"")</f>
        <v>OUI</v>
      </c>
      <c r="G110" t="str">
        <f>IFERROR(VLOOKUP($A110,'Consolidate List'!$A$2:$P$1048576,11,FALSE),"")</f>
        <v>2 - Opportunistic</v>
      </c>
      <c r="H110" t="str">
        <f>IFERROR(VLOOKUP($A110,'Consolidate List'!$A$2:$P$1048576,9,FALSE),"")</f>
        <v>Enceinte Portuaire, Porte 4 13015, France</v>
      </c>
      <c r="I110" t="str">
        <f>IFERROR(VLOOKUP($A110,'Consolidate List'!$A$2:$P$1048576,10,FALSE),"")</f>
        <v>MRS3</v>
      </c>
      <c r="J110" t="str">
        <f>IFERROR(_xlfn.CONCAT((VLOOKUP($A110,'Consolidate List'!$A$2:$P$1048576,5,FALSE)),", ",VLOOKUP($A110,'Consolidate List'!$A$2:$P$1048576,6,FALSE)),"")</f>
        <v>Marseille, Marseille</v>
      </c>
      <c r="K110" t="str">
        <f>IFERROR(VLOOKUP($A110,'Consolidate List'!$A$2:$P$1048576,17,FALSE),"")</f>
        <v/>
      </c>
    </row>
    <row r="111" spans="1:11" x14ac:dyDescent="0.35">
      <c r="A111" t="str">
        <f>IFERROR(Tableau1[[#This Row],[ID Unique]],"")</f>
        <v>EQCHSINXSI01</v>
      </c>
      <c r="B111" t="str">
        <f>IFERROR(VLOOKUP($A111,'Consolidate List'!$A$2:$P$1048576,15,FALSE),"")</f>
        <v>103.9218443</v>
      </c>
      <c r="C111">
        <f>IFERROR(VLOOKUP($A111,'Consolidate List'!$A$2:$P$1048576,16,FALSE),"")</f>
        <v>0</v>
      </c>
      <c r="D111" t="str">
        <f>IFERROR(VLOOKUP($A111,'Consolidate List'!$A$2:$P$1048576,8,FALSE),"")</f>
        <v>SINX01</v>
      </c>
      <c r="F111" t="str">
        <f>IFERROR(VLOOKUP($A111,'Consolidate List'!$A$2:$P$1048576,12,FALSE),"")</f>
        <v>NON</v>
      </c>
      <c r="G111" t="str">
        <f>IFERROR(VLOOKUP($A111,'Consolidate List'!$A$2:$P$1048576,11,FALSE),"")</f>
        <v>3 - Opportunistic not to promote</v>
      </c>
      <c r="H111" t="str">
        <f>IFERROR(VLOOKUP($A111,'Consolidate List'!$A$2:$P$1048576,9,FALSE),"")</f>
        <v>Orange Business Services Singapore Pte Ltd, Block 750, Chai Chee Road, #04-01 ESR BizPark @ Chai Chee, Singapore 469000</v>
      </c>
      <c r="I111" t="str">
        <f>IFERROR(VLOOKUP($A111,'Consolidate List'!$A$2:$P$1048576,10,FALSE),"")</f>
        <v>SINX01</v>
      </c>
      <c r="J111" t="str">
        <f>IFERROR(_xlfn.CONCAT((VLOOKUP($A111,'Consolidate List'!$A$2:$P$1048576,5,FALSE)),", ",VLOOKUP($A111,'Consolidate List'!$A$2:$P$1048576,6,FALSE)),"")</f>
        <v>Singapore, Chai Chee</v>
      </c>
      <c r="K111" t="str">
        <f>IFERROR(VLOOKUP($A111,'Consolidate List'!$A$2:$P$1048576,17,FALSE),"")</f>
        <v/>
      </c>
    </row>
    <row r="112" spans="1:11" x14ac:dyDescent="0.35">
      <c r="A112" t="str">
        <f>IFERROR(Tableau1[[#This Row],[ID Unique]],"")</f>
        <v>DIMAMRS1FRS1</v>
      </c>
      <c r="B112" t="str">
        <f>IFERROR(VLOOKUP($A112,'Consolidate List'!$A$2:$P$1048576,15,FALSE),"")</f>
        <v>5.3733505</v>
      </c>
      <c r="C112" t="str">
        <f>IFERROR(VLOOKUP($A112,'Consolidate List'!$A$2:$P$1048576,16,FALSE),"")</f>
        <v>https://orange0.sharepoint.com/sites/OBDCProximityServicesFieldOperationsRules/SitePages/Digital-Realty-DataCenters-in-Marseille.aspx</v>
      </c>
      <c r="D112" t="str">
        <f>IFERROR(VLOOKUP($A112,'Consolidate List'!$A$2:$P$1048576,8,FALSE),"")</f>
        <v>MRSF03</v>
      </c>
      <c r="F112" t="str">
        <f>IFERROR(VLOOKUP($A112,'Consolidate List'!$A$2:$P$1048576,12,FALSE),"")</f>
        <v>OUI</v>
      </c>
      <c r="G112" t="str">
        <f>IFERROR(VLOOKUP($A112,'Consolidate List'!$A$2:$P$1048576,11,FALSE),"")</f>
        <v>2 - Opportunistic</v>
      </c>
      <c r="H112" t="str">
        <f>IFERROR(VLOOKUP($A112,'Consolidate List'!$A$2:$P$1048576,9,FALSE),"")</f>
        <v>40 Avenue Roger Salengro 13003, France</v>
      </c>
      <c r="I112" t="str">
        <f>IFERROR(VLOOKUP($A112,'Consolidate List'!$A$2:$P$1048576,10,FALSE),"")</f>
        <v>MRS1</v>
      </c>
      <c r="J112" t="str">
        <f>IFERROR(_xlfn.CONCAT((VLOOKUP($A112,'Consolidate List'!$A$2:$P$1048576,5,FALSE)),", ",VLOOKUP($A112,'Consolidate List'!$A$2:$P$1048576,6,FALSE)),"")</f>
        <v>Marseille, Marseille</v>
      </c>
      <c r="K112" t="str">
        <f>IFERROR(VLOOKUP($A112,'Consolidate List'!$A$2:$P$1048576,17,FALSE),"")</f>
        <v/>
      </c>
    </row>
    <row r="113" spans="1:11" x14ac:dyDescent="0.35">
      <c r="A113" t="str">
        <f>IFERROR(Tableau1[[#This Row],[ID Unique]],"")</f>
        <v>EQJOEQUASORG</v>
      </c>
      <c r="B113" t="str">
        <f>IFERROR(VLOOKUP($A113,'Consolidate List'!$A$2:$P$1048576,15,FALSE),"")</f>
        <v>28.067591</v>
      </c>
      <c r="C113">
        <f>IFERROR(VLOOKUP($A113,'Consolidate List'!$A$2:$P$1048576,16,FALSE),"")</f>
        <v>0</v>
      </c>
      <c r="D113" t="str">
        <f>IFERROR(VLOOKUP($A113,'Consolidate List'!$A$2:$P$1048576,8,FALSE),"")</f>
        <v xml:space="preserve">JNBT01 </v>
      </c>
      <c r="F113" t="str">
        <f>IFERROR(VLOOKUP($A113,'Consolidate List'!$A$2:$P$1048576,12,FALSE),"")</f>
        <v>NON</v>
      </c>
      <c r="G113" t="str">
        <f>IFERROR(VLOOKUP($A113,'Consolidate List'!$A$2:$P$1048576,11,FALSE),"")</f>
        <v>4 - Frozen</v>
      </c>
      <c r="H113" t="str">
        <f>IFERROR(VLOOKUP($A113,'Consolidate List'!$A$2:$P$1048576,9,FALSE),"")</f>
        <v>Johannesburg DataCenter Ground Floor, SITA Equant Building, 18 Eglin Rd, Sunninghill, Sandton, 2157</v>
      </c>
      <c r="I113" t="str">
        <f>IFERROR(VLOOKUP($A113,'Consolidate List'!$A$2:$P$1048576,10,FALSE),"")</f>
        <v>Equant Johannesbourg</v>
      </c>
      <c r="J113" t="str">
        <f>IFERROR(_xlfn.CONCAT((VLOOKUP($A113,'Consolidate List'!$A$2:$P$1048576,5,FALSE)),", ",VLOOKUP($A113,'Consolidate List'!$A$2:$P$1048576,6,FALSE)),"")</f>
        <v>Johannesbourg, Johannesbourg</v>
      </c>
      <c r="K113" t="str">
        <f>IFERROR(VLOOKUP($A113,'Consolidate List'!$A$2:$P$1048576,17,FALSE),"")</f>
        <v/>
      </c>
    </row>
    <row r="114" spans="1:11" x14ac:dyDescent="0.35">
      <c r="A114" t="str">
        <f>IFERROR(Tableau1[[#This Row],[ID Unique]],"")</f>
        <v>DILAPAR8FRR8</v>
      </c>
      <c r="B114" t="str">
        <f>IFERROR(VLOOKUP($A114,'Consolidate List'!$A$2:$P$1048576,15,FALSE),"")</f>
        <v>2.3976544</v>
      </c>
      <c r="C114" t="str">
        <f>IFERROR(VLOOKUP($A114,'Consolidate List'!$A$2:$P$1048576,16,FALSE),"")</f>
        <v>https://orange0.sharepoint.com/sites/OBDCProximityServicesFieldOperationsRules/SitePages/Digital-Realty-DataCenters-in-%C3%8Ele-de-France.aspx</v>
      </c>
      <c r="D114" t="str">
        <f>IFERROR(VLOOKUP($A114,'Consolidate List'!$A$2:$P$1048576,8,FALSE),"")</f>
        <v>not found on GINI</v>
      </c>
      <c r="F114" t="str">
        <f>IFERROR(VLOOKUP($A114,'Consolidate List'!$A$2:$P$1048576,12,FALSE),"")</f>
        <v>OUI</v>
      </c>
      <c r="G114" t="str">
        <f>IFERROR(VLOOKUP($A114,'Consolidate List'!$A$2:$P$1048576,11,FALSE),"")</f>
        <v>1 - Major</v>
      </c>
      <c r="H114" t="str">
        <f>IFERROR(VLOOKUP($A114,'Consolidate List'!$A$2:$P$1048576,9,FALSE),"")</f>
        <v>2 Avenue Marcel Cachin, 93120 La Courneuve, France</v>
      </c>
      <c r="I114" t="str">
        <f>IFERROR(VLOOKUP($A114,'Consolidate List'!$A$2:$P$1048576,10,FALSE),"")</f>
        <v>PAR8</v>
      </c>
      <c r="J114" t="str">
        <f>IFERROR(_xlfn.CONCAT((VLOOKUP($A114,'Consolidate List'!$A$2:$P$1048576,5,FALSE)),", ",VLOOKUP($A114,'Consolidate List'!$A$2:$P$1048576,6,FALSE)),"")</f>
        <v>Paris, La Courneuve</v>
      </c>
      <c r="K114" t="str">
        <f>IFERROR(VLOOKUP($A114,'Consolidate List'!$A$2:$P$1048576,17,FALSE),"")</f>
        <v/>
      </c>
    </row>
    <row r="115" spans="1:11" x14ac:dyDescent="0.35">
      <c r="A115" t="str">
        <f>IFERROR(Tableau1[[#This Row],[ID Unique]],"")</f>
        <v>DISAPAR5FRR5</v>
      </c>
      <c r="B115" t="str">
        <f>IFERROR(VLOOKUP($A115,'Consolidate List'!$A$2:$P$1048576,15,FALSE),"")</f>
        <v>2.3621093</v>
      </c>
      <c r="C115" t="str">
        <f>IFERROR(VLOOKUP($A115,'Consolidate List'!$A$2:$P$1048576,16,FALSE),"")</f>
        <v>https://orange0.sharepoint.com/sites/OBDCProximityServicesFieldOperationsRules/SitePages/Digital-Realty-DataCenters-in-%C3%8Ele-de-France.aspx</v>
      </c>
      <c r="D115" t="str">
        <f>IFERROR(VLOOKUP($A115,'Consolidate List'!$A$2:$P$1048576,8,FALSE),"")</f>
        <v>not found on GINI</v>
      </c>
      <c r="F115" t="str">
        <f>IFERROR(VLOOKUP($A115,'Consolidate List'!$A$2:$P$1048576,12,FALSE),"")</f>
        <v>OUI</v>
      </c>
      <c r="G115" t="str">
        <f>IFERROR(VLOOKUP($A115,'Consolidate List'!$A$2:$P$1048576,11,FALSE),"")</f>
        <v>1 - Major</v>
      </c>
      <c r="H115" t="str">
        <f>IFERROR(VLOOKUP($A115,'Consolidate List'!$A$2:$P$1048576,9,FALSE),"")</f>
        <v>11‑13 Avenue des Arts et Metiers, Saint Denis 93200, France</v>
      </c>
      <c r="I115" t="str">
        <f>IFERROR(VLOOKUP($A115,'Consolidate List'!$A$2:$P$1048576,10,FALSE),"")</f>
        <v>PAR5</v>
      </c>
      <c r="J115" t="str">
        <f>IFERROR(_xlfn.CONCAT((VLOOKUP($A115,'Consolidate List'!$A$2:$P$1048576,5,FALSE)),", ",VLOOKUP($A115,'Consolidate List'!$A$2:$P$1048576,6,FALSE)),"")</f>
        <v>Paris, Saint-Denis</v>
      </c>
      <c r="K115" t="str">
        <f>IFERROR(VLOOKUP($A115,'Consolidate List'!$A$2:$P$1048576,17,FALSE),"")</f>
        <v/>
      </c>
    </row>
    <row r="116" spans="1:11" x14ac:dyDescent="0.35">
      <c r="A116" t="str">
        <f>IFERROR(Tableau1[[#This Row],[ID Unique]],"")</f>
        <v>ORSTSTH2SWH2</v>
      </c>
      <c r="B116" t="str">
        <f>IFERROR(VLOOKUP($A116,'Consolidate List'!$A$2:$P$1048576,15,FALSE),"")</f>
        <v>17.9769712</v>
      </c>
      <c r="C116">
        <f>IFERROR(VLOOKUP($A116,'Consolidate List'!$A$2:$P$1048576,16,FALSE),"")</f>
        <v>0</v>
      </c>
      <c r="D116" t="str">
        <f>IFERROR(VLOOKUP($A116,'Consolidate List'!$A$2:$P$1048576,8,FALSE),"")</f>
        <v>STH2</v>
      </c>
      <c r="F116" t="str">
        <f>IFERROR(VLOOKUP($A116,'Consolidate List'!$A$2:$P$1048576,12,FALSE),"")</f>
        <v>NON</v>
      </c>
      <c r="G116" t="str">
        <f>IFERROR(VLOOKUP($A116,'Consolidate List'!$A$2:$P$1048576,11,FALSE),"")</f>
        <v>3 - Opportunistic not to promote</v>
      </c>
      <c r="H116" t="str">
        <f>IFERROR(VLOOKUP($A116,'Consolidate List'!$A$2:$P$1048576,9,FALSE),"")</f>
        <v>Hemvärnsgatan 9, 17154 Solna, Sweden</v>
      </c>
      <c r="I116" t="str">
        <f>IFERROR(VLOOKUP($A116,'Consolidate List'!$A$2:$P$1048576,10,FALSE),"")</f>
        <v>STH2</v>
      </c>
      <c r="J116" t="str">
        <f>IFERROR(_xlfn.CONCAT((VLOOKUP($A116,'Consolidate List'!$A$2:$P$1048576,5,FALSE)),", ",VLOOKUP($A116,'Consolidate List'!$A$2:$P$1048576,6,FALSE)),"")</f>
        <v>Stockholm, Stockholm</v>
      </c>
      <c r="K116" t="str">
        <f>IFERROR(VLOOKUP($A116,'Consolidate List'!$A$2:$P$1048576,17,FALSE),"")</f>
        <v/>
      </c>
    </row>
    <row r="117" spans="1:11" x14ac:dyDescent="0.35">
      <c r="A117" t="str">
        <f>IFERROR(Tableau1[[#This Row],[ID Unique]],"")</f>
        <v xml:space="preserve">STSTSTO0SW1 </v>
      </c>
      <c r="B117" t="str">
        <f>IFERROR(VLOOKUP($A117,'Consolidate List'!$A$2:$P$1048576,15,FALSE),"")</f>
        <v>17.8973689</v>
      </c>
      <c r="C117">
        <f>IFERROR(VLOOKUP($A117,'Consolidate List'!$A$2:$P$1048576,16,FALSE),"")</f>
        <v>0</v>
      </c>
      <c r="D117" t="str">
        <f>IFERROR(VLOOKUP($A117,'Consolidate List'!$A$2:$P$1048576,8,FALSE),"")</f>
        <v>STH6</v>
      </c>
      <c r="F117" t="str">
        <f>IFERROR(VLOOKUP($A117,'Consolidate List'!$A$2:$P$1048576,12,FALSE),"")</f>
        <v>NON</v>
      </c>
      <c r="G117" t="str">
        <f>IFERROR(VLOOKUP($A117,'Consolidate List'!$A$2:$P$1048576,11,FALSE),"")</f>
        <v>3 - Opportunistic not to promote</v>
      </c>
      <c r="H117" t="str">
        <f>IFERROR(VLOOKUP($A117,'Consolidate List'!$A$2:$P$1048576,9,FALSE),"")</f>
        <v>Smedbyvägen 6, 19430 Upplands Väsby, Sweden</v>
      </c>
      <c r="I117" t="str">
        <f>IFERROR(VLOOKUP($A117,'Consolidate List'!$A$2:$P$1048576,10,FALSE),"")</f>
        <v xml:space="preserve">STO01 </v>
      </c>
      <c r="J117" t="str">
        <f>IFERROR(_xlfn.CONCAT((VLOOKUP($A117,'Consolidate List'!$A$2:$P$1048576,5,FALSE)),", ",VLOOKUP($A117,'Consolidate List'!$A$2:$P$1048576,6,FALSE)),"")</f>
        <v>Stockholm, Stockholm</v>
      </c>
      <c r="K117" t="str">
        <f>IFERROR(VLOOKUP($A117,'Consolidate List'!$A$2:$P$1048576,17,FALSE),"")</f>
        <v/>
      </c>
    </row>
    <row r="118" spans="1:11" x14ac:dyDescent="0.35">
      <c r="A118" t="str">
        <f>IFERROR(Tableau1[[#This Row],[ID Unique]],"")</f>
        <v>DISTSTO1SWO1</v>
      </c>
      <c r="B118" t="str">
        <f>IFERROR(VLOOKUP($A118,'Consolidate List'!$A$2:$P$1048576,15,FALSE),"")</f>
        <v>17.9185246</v>
      </c>
      <c r="C118">
        <f>IFERROR(VLOOKUP($A118,'Consolidate List'!$A$2:$P$1048576,16,FALSE),"")</f>
        <v>0</v>
      </c>
      <c r="D118" t="str">
        <f>IFERROR(VLOOKUP($A118,'Consolidate List'!$A$2:$P$1048576,8,FALSE),"")</f>
        <v>STH7</v>
      </c>
      <c r="F118" t="str">
        <f>IFERROR(VLOOKUP($A118,'Consolidate List'!$A$2:$P$1048576,12,FALSE),"")</f>
        <v>NON</v>
      </c>
      <c r="G118" t="str">
        <f>IFERROR(VLOOKUP($A118,'Consolidate List'!$A$2:$P$1048576,11,FALSE),"")</f>
        <v>3 - Opportunistic not to promote</v>
      </c>
      <c r="H118" t="str">
        <f>IFERROR(VLOOKUP($A118,'Consolidate List'!$A$2:$P$1048576,9,FALSE),"")</f>
        <v>Esbogatan 11, 16474 Kista, Sweden</v>
      </c>
      <c r="I118" t="str">
        <f>IFERROR(VLOOKUP($A118,'Consolidate List'!$A$2:$P$1048576,10,FALSE),"")</f>
        <v>STO1</v>
      </c>
      <c r="J118" t="str">
        <f>IFERROR(_xlfn.CONCAT((VLOOKUP($A118,'Consolidate List'!$A$2:$P$1048576,5,FALSE)),", ",VLOOKUP($A118,'Consolidate List'!$A$2:$P$1048576,6,FALSE)),"")</f>
        <v>Stockholm, Stockholm</v>
      </c>
      <c r="K118" t="str">
        <f>IFERROR(VLOOKUP($A118,'Consolidate List'!$A$2:$P$1048576,17,FALSE),"")</f>
        <v/>
      </c>
    </row>
    <row r="119" spans="1:11" x14ac:dyDescent="0.35">
      <c r="A119" t="str">
        <f>IFERROR(Tableau1[[#This Row],[ID Unique]],"")</f>
        <v>EQGEGENESW01</v>
      </c>
      <c r="B119">
        <f>IFERROR(VLOOKUP($A119,'Consolidate List'!$A$2:$P$1048576,15,FALSE),"")</f>
        <v>6.1281363000000004</v>
      </c>
      <c r="C119">
        <f>IFERROR(VLOOKUP($A119,'Consolidate List'!$A$2:$P$1048576,16,FALSE),"")</f>
        <v>0</v>
      </c>
      <c r="D119" t="str">
        <f>IFERROR(VLOOKUP($A119,'Consolidate List'!$A$2:$P$1048576,8,FALSE),"")</f>
        <v>GVAX01</v>
      </c>
      <c r="F119" t="str">
        <f>IFERROR(VLOOKUP($A119,'Consolidate List'!$A$2:$P$1048576,12,FALSE),"")</f>
        <v>NON</v>
      </c>
      <c r="G119" t="str">
        <f>IFERROR(VLOOKUP($A119,'Consolidate List'!$A$2:$P$1048576,11,FALSE),"")</f>
        <v>3 - Opportunistic not to promote</v>
      </c>
      <c r="H119" t="str">
        <f>IFERROR(VLOOKUP($A119,'Consolidate List'!$A$2:$P$1048576,9,FALSE),"")</f>
        <v>Equant, route des Jeunes 13bis, 1227 Carouge</v>
      </c>
      <c r="I119" t="str">
        <f>IFERROR(VLOOKUP($A119,'Consolidate List'!$A$2:$P$1048576,10,FALSE),"")</f>
        <v>Geneva PoP GVAX01</v>
      </c>
      <c r="J119" t="str">
        <f>IFERROR(_xlfn.CONCAT((VLOOKUP($A119,'Consolidate List'!$A$2:$P$1048576,5,FALSE)),", ",VLOOKUP($A119,'Consolidate List'!$A$2:$P$1048576,6,FALSE)),"")</f>
        <v>Geneva, Geneva</v>
      </c>
      <c r="K119" t="str">
        <f>IFERROR(VLOOKUP($A119,'Consolidate List'!$A$2:$P$1048576,17,FALSE),"")</f>
        <v/>
      </c>
    </row>
    <row r="120" spans="1:11" x14ac:dyDescent="0.35">
      <c r="A120" t="str">
        <f>IFERROR(Tableau1[[#This Row],[ID Unique]],"")</f>
        <v>SAGEGENESWST</v>
      </c>
      <c r="B120">
        <f>IFERROR(VLOOKUP($A120,'Consolidate List'!$A$2:$P$1048576,15,FALSE),"")</f>
        <v>6.1071596776443702</v>
      </c>
      <c r="C120">
        <f>IFERROR(VLOOKUP($A120,'Consolidate List'!$A$2:$P$1048576,16,FALSE),"")</f>
        <v>0</v>
      </c>
      <c r="D120" t="str">
        <f>IFERROR(VLOOKUP($A120,'Consolidate List'!$A$2:$P$1048576,8,FALSE),"")</f>
        <v>GVA09</v>
      </c>
      <c r="F120" t="str">
        <f>IFERROR(VLOOKUP($A120,'Consolidate List'!$A$2:$P$1048576,12,FALSE),"")</f>
        <v>NON</v>
      </c>
      <c r="G120" t="str">
        <f>IFERROR(VLOOKUP($A120,'Consolidate List'!$A$2:$P$1048576,11,FALSE),"")</f>
        <v>5 - Closed</v>
      </c>
      <c r="H120" t="str">
        <f>IFERROR(VLOOKUP($A120,'Consolidate List'!$A$2:$P$1048576,9,FALSE),"")</f>
        <v>Chem. du Pré-Fleuri 20, 1228 Plan-les-Ouates, Switzerland</v>
      </c>
      <c r="I120" t="str">
        <f>IFERROR(VLOOKUP($A120,'Consolidate List'!$A$2:$P$1048576,10,FALSE),"")</f>
        <v>Geneva - Safehost</v>
      </c>
      <c r="J120" t="str">
        <f>IFERROR(_xlfn.CONCAT((VLOOKUP($A120,'Consolidate List'!$A$2:$P$1048576,5,FALSE)),", ",VLOOKUP($A120,'Consolidate List'!$A$2:$P$1048576,6,FALSE)),"")</f>
        <v>Geneva, Geneva</v>
      </c>
      <c r="K120" t="str">
        <f>IFERROR(VLOOKUP($A120,'Consolidate List'!$A$2:$P$1048576,17,FALSE),"")</f>
        <v/>
      </c>
    </row>
    <row r="121" spans="1:11" x14ac:dyDescent="0.35">
      <c r="A121" t="str">
        <f>IFERROR(Tableau1[[#This Row],[ID Unique]],"")</f>
        <v>EOGRMANGFRN1</v>
      </c>
      <c r="B121" t="str">
        <f>IFERROR(VLOOKUP($A121,'Consolidate List'!$A$2:$P$1048576,15,FALSE),"")</f>
        <v>5.715114</v>
      </c>
      <c r="C121" t="str">
        <f>IFERROR(VLOOKUP($A121,'Consolidate List'!$A$2:$P$1048576,16,FALSE),"")</f>
        <v>https://orange0.sharepoint.com/sites/OBDCFrance/SitePages/Datacenter-EOLAS-de-Grenoble.aspx</v>
      </c>
      <c r="D121" t="str">
        <f>IFERROR(VLOOKUP($A121,'Consolidate List'!$A$2:$P$1048576,8,FALSE),"")</f>
        <v>not found on GINI</v>
      </c>
      <c r="F121" t="str">
        <f>IFERROR(VLOOKUP($A121,'Consolidate List'!$A$2:$P$1048576,12,FALSE),"")</f>
        <v>OUI</v>
      </c>
      <c r="G121" t="str">
        <f>IFERROR(VLOOKUP($A121,'Consolidate List'!$A$2:$P$1048576,11,FALSE),"")</f>
        <v>1 - Major</v>
      </c>
      <c r="H121" t="str">
        <f>IFERROR(VLOOKUP($A121,'Consolidate List'!$A$2:$P$1048576,9,FALSE),"")</f>
        <v>73 Rue Général Mangin, 38100 Grenoble</v>
      </c>
      <c r="I121" t="str">
        <f>IFERROR(VLOOKUP($A121,'Consolidate List'!$A$2:$P$1048576,10,FALSE),"")</f>
        <v>MANGIN1</v>
      </c>
      <c r="J121" t="str">
        <f>IFERROR(_xlfn.CONCAT((VLOOKUP($A121,'Consolidate List'!$A$2:$P$1048576,5,FALSE)),", ",VLOOKUP($A121,'Consolidate List'!$A$2:$P$1048576,6,FALSE)),"")</f>
        <v>Grenoble, Grenoble</v>
      </c>
      <c r="K121" t="str">
        <f>IFERROR(VLOOKUP($A121,'Consolidate List'!$A$2:$P$1048576,17,FALSE),"")</f>
        <v/>
      </c>
    </row>
    <row r="122" spans="1:11" x14ac:dyDescent="0.35">
      <c r="A122" t="str">
        <f>IFERROR(Tableau1[[#This Row],[ID Unique]],"")</f>
        <v>EQGEGV2SWV2</v>
      </c>
      <c r="B122">
        <f>IFERROR(VLOOKUP($A122,'Consolidate List'!$A$2:$P$1048576,15,FALSE),"")</f>
        <v>6.0978154611723099</v>
      </c>
      <c r="C122">
        <f>IFERROR(VLOOKUP($A122,'Consolidate List'!$A$2:$P$1048576,16,FALSE),"")</f>
        <v>0</v>
      </c>
      <c r="D122" t="str">
        <f>IFERROR(VLOOKUP($A122,'Consolidate List'!$A$2:$P$1048576,8,FALSE),"")</f>
        <v>GVAT02</v>
      </c>
      <c r="F122" t="str">
        <f>IFERROR(VLOOKUP($A122,'Consolidate List'!$A$2:$P$1048576,12,FALSE),"")</f>
        <v>NON</v>
      </c>
      <c r="G122" t="str">
        <f>IFERROR(VLOOKUP($A122,'Consolidate List'!$A$2:$P$1048576,11,FALSE),"")</f>
        <v>3 - Opportunistic not to promote</v>
      </c>
      <c r="H122" t="str">
        <f>IFERROR(VLOOKUP($A122,'Consolidate List'!$A$2:$P$1048576,9,FALSE),"")</f>
        <v>Rte du Bois-des-Frères 48, 1219 Vernier, Switzerland</v>
      </c>
      <c r="I122" t="str">
        <f>IFERROR(VLOOKUP($A122,'Consolidate List'!$A$2:$P$1048576,10,FALSE),"")</f>
        <v>GV2</v>
      </c>
      <c r="J122" t="str">
        <f>IFERROR(_xlfn.CONCAT((VLOOKUP($A122,'Consolidate List'!$A$2:$P$1048576,5,FALSE)),", ",VLOOKUP($A122,'Consolidate List'!$A$2:$P$1048576,6,FALSE)),"")</f>
        <v>Geneva, Geneva</v>
      </c>
      <c r="K122" t="str">
        <f>IFERROR(VLOOKUP($A122,'Consolidate List'!$A$2:$P$1048576,17,FALSE),"")</f>
        <v/>
      </c>
    </row>
    <row r="123" spans="1:11" x14ac:dyDescent="0.35">
      <c r="A123" t="str">
        <f>IFERROR(Tableau1[[#This Row],[ID Unique]],"")</f>
        <v>EQGEGV1SWV1</v>
      </c>
      <c r="B123">
        <f>IFERROR(VLOOKUP($A123,'Consolidate List'!$A$2:$P$1048576,15,FALSE),"")</f>
        <v>6.1444781720660497</v>
      </c>
      <c r="C123">
        <f>IFERROR(VLOOKUP($A123,'Consolidate List'!$A$2:$P$1048576,16,FALSE),"")</f>
        <v>0</v>
      </c>
      <c r="D123" t="str">
        <f>IFERROR(VLOOKUP($A123,'Consolidate List'!$A$2:$P$1048576,8,FALSE),"")</f>
        <v>GVAT02</v>
      </c>
      <c r="F123" t="str">
        <f>IFERROR(VLOOKUP($A123,'Consolidate List'!$A$2:$P$1048576,12,FALSE),"")</f>
        <v>NON</v>
      </c>
      <c r="G123" t="str">
        <f>IFERROR(VLOOKUP($A123,'Consolidate List'!$A$2:$P$1048576,11,FALSE),"")</f>
        <v>3 - Opportunistic not to promote</v>
      </c>
      <c r="H123" t="str">
        <f>IFERROR(VLOOKUP($A123,'Consolidate List'!$A$2:$P$1048576,9,FALSE),"")</f>
        <v>Rue de la Confédération 6, 1204 Genève, Switzerland</v>
      </c>
      <c r="I123" t="str">
        <f>IFERROR(VLOOKUP($A123,'Consolidate List'!$A$2:$P$1048576,10,FALSE),"")</f>
        <v>GV1</v>
      </c>
      <c r="J123" t="str">
        <f>IFERROR(_xlfn.CONCAT((VLOOKUP($A123,'Consolidate List'!$A$2:$P$1048576,5,FALSE)),", ",VLOOKUP($A123,'Consolidate List'!$A$2:$P$1048576,6,FALSE)),"")</f>
        <v>Geneva, Geneva</v>
      </c>
      <c r="K123" t="str">
        <f>IFERROR(VLOOKUP($A123,'Consolidate List'!$A$2:$P$1048576,17,FALSE),"")</f>
        <v/>
      </c>
    </row>
    <row r="124" spans="1:11" x14ac:dyDescent="0.35">
      <c r="A124" t="str">
        <f>IFERROR(Tableau1[[#This Row],[ID Unique]],"")</f>
        <v>EQZUZH2SWH2</v>
      </c>
      <c r="B124">
        <f>IFERROR(VLOOKUP($A124,'Consolidate List'!$A$2:$P$1048576,15,FALSE),"")</f>
        <v>8.5203577438450999</v>
      </c>
      <c r="C124">
        <f>IFERROR(VLOOKUP($A124,'Consolidate List'!$A$2:$P$1048576,16,FALSE),"")</f>
        <v>0</v>
      </c>
      <c r="D124" t="str">
        <f>IFERROR(VLOOKUP($A124,'Consolidate List'!$A$2:$P$1048576,8,FALSE),"")</f>
        <v>not found on GINI</v>
      </c>
      <c r="F124" t="str">
        <f>IFERROR(VLOOKUP($A124,'Consolidate List'!$A$2:$P$1048576,12,FALSE),"")</f>
        <v>NON</v>
      </c>
      <c r="G124" t="str">
        <f>IFERROR(VLOOKUP($A124,'Consolidate List'!$A$2:$P$1048576,11,FALSE),"")</f>
        <v>3 - Opportunistic not to promote</v>
      </c>
      <c r="H124" t="str">
        <f>IFERROR(VLOOKUP($A124,'Consolidate List'!$A$2:$P$1048576,9,FALSE),"")</f>
        <v>Josefstrasse 225, 8005 Zürich, Switzerland</v>
      </c>
      <c r="I124" t="str">
        <f>IFERROR(VLOOKUP($A124,'Consolidate List'!$A$2:$P$1048576,10,FALSE),"")</f>
        <v>ZH2</v>
      </c>
      <c r="J124" t="str">
        <f>IFERROR(_xlfn.CONCAT((VLOOKUP($A124,'Consolidate List'!$A$2:$P$1048576,5,FALSE)),", ",VLOOKUP($A124,'Consolidate List'!$A$2:$P$1048576,6,FALSE)),"")</f>
        <v>Zurich, Zurich</v>
      </c>
      <c r="K124" t="str">
        <f>IFERROR(VLOOKUP($A124,'Consolidate List'!$A$2:$P$1048576,17,FALSE),"")</f>
        <v/>
      </c>
    </row>
    <row r="125" spans="1:11" x14ac:dyDescent="0.35">
      <c r="A125" t="str">
        <f>IFERROR(Tableau1[[#This Row],[ID Unique]],"")</f>
        <v>EQZUZH4SWH4</v>
      </c>
      <c r="B125">
        <f>IFERROR(VLOOKUP($A125,'Consolidate List'!$A$2:$P$1048576,15,FALSE),"")</f>
        <v>8.5203577438451106</v>
      </c>
      <c r="C125">
        <f>IFERROR(VLOOKUP($A125,'Consolidate List'!$A$2:$P$1048576,16,FALSE),"")</f>
        <v>0</v>
      </c>
      <c r="D125" t="str">
        <f>IFERROR(VLOOKUP($A125,'Consolidate List'!$A$2:$P$1048576,8,FALSE),"")</f>
        <v>not found on GINI</v>
      </c>
      <c r="F125" t="str">
        <f>IFERROR(VLOOKUP($A125,'Consolidate List'!$A$2:$P$1048576,12,FALSE),"")</f>
        <v>NON</v>
      </c>
      <c r="G125" t="str">
        <f>IFERROR(VLOOKUP($A125,'Consolidate List'!$A$2:$P$1048576,11,FALSE),"")</f>
        <v>3 - Opportunistic not to promote</v>
      </c>
      <c r="H125" t="str">
        <f>IFERROR(VLOOKUP($A125,'Consolidate List'!$A$2:$P$1048576,9,FALSE),"")</f>
        <v>Josefstrasse 225, 8005 Zürich, Switzerland</v>
      </c>
      <c r="I125" t="str">
        <f>IFERROR(VLOOKUP($A125,'Consolidate List'!$A$2:$P$1048576,10,FALSE),"")</f>
        <v>ZH4</v>
      </c>
      <c r="J125" t="str">
        <f>IFERROR(_xlfn.CONCAT((VLOOKUP($A125,'Consolidate List'!$A$2:$P$1048576,5,FALSE)),", ",VLOOKUP($A125,'Consolidate List'!$A$2:$P$1048576,6,FALSE)),"")</f>
        <v>Zurich, Zurich</v>
      </c>
      <c r="K125" t="str">
        <f>IFERROR(VLOOKUP($A125,'Consolidate List'!$A$2:$P$1048576,17,FALSE),"")</f>
        <v/>
      </c>
    </row>
    <row r="126" spans="1:11" x14ac:dyDescent="0.35">
      <c r="A126" t="str">
        <f>IFERROR(Tableau1[[#This Row],[ID Unique]],"")</f>
        <v>EQZUZH5SWH5</v>
      </c>
      <c r="B126">
        <f>IFERROR(VLOOKUP($A126,'Consolidate List'!$A$2:$P$1048576,15,FALSE),"")</f>
        <v>8.4622249058040993</v>
      </c>
      <c r="C126">
        <f>IFERROR(VLOOKUP($A126,'Consolidate List'!$A$2:$P$1048576,16,FALSE),"")</f>
        <v>0</v>
      </c>
      <c r="D126" t="str">
        <f>IFERROR(VLOOKUP($A126,'Consolidate List'!$A$2:$P$1048576,8,FALSE),"")</f>
        <v>not found on GINI</v>
      </c>
      <c r="F126" t="str">
        <f>IFERROR(VLOOKUP($A126,'Consolidate List'!$A$2:$P$1048576,12,FALSE),"")</f>
        <v>NON</v>
      </c>
      <c r="G126" t="str">
        <f>IFERROR(VLOOKUP($A126,'Consolidate List'!$A$2:$P$1048576,11,FALSE),"")</f>
        <v>3 - Opportunistic not to promote</v>
      </c>
      <c r="H126" t="str">
        <f>IFERROR(VLOOKUP($A126,'Consolidate List'!$A$2:$P$1048576,9,FALSE),"")</f>
        <v>Allmendstrasse 13, 8102 Oberengstringen, Switzerland</v>
      </c>
      <c r="I126" t="str">
        <f>IFERROR(VLOOKUP($A126,'Consolidate List'!$A$2:$P$1048576,10,FALSE),"")</f>
        <v>ZH5</v>
      </c>
      <c r="J126" t="str">
        <f>IFERROR(_xlfn.CONCAT((VLOOKUP($A126,'Consolidate List'!$A$2:$P$1048576,5,FALSE)),", ",VLOOKUP($A126,'Consolidate List'!$A$2:$P$1048576,6,FALSE)),"")</f>
        <v>Zurich, Zurich</v>
      </c>
      <c r="K126" t="str">
        <f>IFERROR(VLOOKUP($A126,'Consolidate List'!$A$2:$P$1048576,17,FALSE),"")</f>
        <v/>
      </c>
    </row>
    <row r="127" spans="1:11" x14ac:dyDescent="0.35">
      <c r="A127" t="str">
        <f>IFERROR(Tableau1[[#This Row],[ID Unique]],"")</f>
        <v>NGISSTARTUDC</v>
      </c>
      <c r="B127" t="str">
        <f>IFERROR(VLOOKUP($A127,'Consolidate List'!$A$2:$P$1048576,15,FALSE),"")</f>
        <v>29.4237365</v>
      </c>
      <c r="C127">
        <f>IFERROR(VLOOKUP($A127,'Consolidate List'!$A$2:$P$1048576,16,FALSE),"")</f>
        <v>0</v>
      </c>
      <c r="D127" t="str">
        <f>IFERROR(VLOOKUP($A127,'Consolidate List'!$A$2:$P$1048576,8,FALSE),"")</f>
        <v>to be determined with GINI</v>
      </c>
      <c r="F127" t="str">
        <f>IFERROR(VLOOKUP($A127,'Consolidate List'!$A$2:$P$1048576,12,FALSE),"")</f>
        <v>NON</v>
      </c>
      <c r="G127" t="str">
        <f>IFERROR(VLOOKUP($A127,'Consolidate List'!$A$2:$P$1048576,11,FALSE),"")</f>
        <v>3 - Opportunistic not to promote</v>
      </c>
      <c r="H127" t="str">
        <f>IFERROR(VLOOKUP($A127,'Consolidate List'!$A$2:$P$1048576,9,FALSE),"")</f>
        <v>34959 Tuzla Istanbul, Turkey</v>
      </c>
      <c r="I127" t="str">
        <f>IFERROR(VLOOKUP($A127,'Consolidate List'!$A$2:$P$1048576,10,FALSE),"")</f>
        <v>Star of Bosphorus DC</v>
      </c>
      <c r="J127" t="str">
        <f>IFERROR(_xlfn.CONCAT((VLOOKUP($A127,'Consolidate List'!$A$2:$P$1048576,5,FALSE)),", ",VLOOKUP($A127,'Consolidate List'!$A$2:$P$1048576,6,FALSE)),"")</f>
        <v>Istanbul, Istanbul</v>
      </c>
      <c r="K127" t="str">
        <f>IFERROR(VLOOKUP($A127,'Consolidate List'!$A$2:$P$1048576,17,FALSE),"")</f>
        <v/>
      </c>
    </row>
    <row r="128" spans="1:11" x14ac:dyDescent="0.35">
      <c r="A128" t="str">
        <f>IFERROR(Tableau1[[#This Row],[ID Unique]],"")</f>
        <v>RAISRADOTURE</v>
      </c>
      <c r="B128" t="str">
        <f>IFERROR(VLOOKUP($A128,'Consolidate List'!$A$2:$P$1048576,15,FALSE),"")</f>
        <v>29.0119856</v>
      </c>
      <c r="C128">
        <f>IFERROR(VLOOKUP($A128,'Consolidate List'!$A$2:$P$1048576,16,FALSE),"")</f>
        <v>0</v>
      </c>
      <c r="D128" t="str">
        <f>IFERROR(VLOOKUP($A128,'Consolidate List'!$A$2:$P$1048576,8,FALSE),"")</f>
        <v>to be determined with GINI</v>
      </c>
      <c r="F128" t="str">
        <f>IFERROR(VLOOKUP($A128,'Consolidate List'!$A$2:$P$1048576,12,FALSE),"")</f>
        <v>NON</v>
      </c>
      <c r="G128" t="str">
        <f>IFERROR(VLOOKUP($A128,'Consolidate List'!$A$2:$P$1048576,11,FALSE),"")</f>
        <v>3 - Opportunistic not to promote</v>
      </c>
      <c r="H128" t="str">
        <f>IFERROR(VLOOKUP($A128,'Consolidate List'!$A$2:$P$1048576,9,FALSE),"")</f>
        <v>Büyükdere Cad. No:171 Metrocity AVM Kat: -4B No: 39-46S, Levent Cd., 34330 Şişli/İstanbul, Türkiye</v>
      </c>
      <c r="I128" t="str">
        <f>IFERROR(VLOOKUP($A128,'Consolidate List'!$A$2:$P$1048576,10,FALSE),"")</f>
        <v>Radore</v>
      </c>
      <c r="J128" t="str">
        <f>IFERROR(_xlfn.CONCAT((VLOOKUP($A128,'Consolidate List'!$A$2:$P$1048576,5,FALSE)),", ",VLOOKUP($A128,'Consolidate List'!$A$2:$P$1048576,6,FALSE)),"")</f>
        <v>Istanbul, Istanbul</v>
      </c>
      <c r="K128" t="str">
        <f>IFERROR(VLOOKUP($A128,'Consolidate List'!$A$2:$P$1048576,17,FALSE),"")</f>
        <v/>
      </c>
    </row>
    <row r="129" spans="1:11" x14ac:dyDescent="0.35">
      <c r="A129" t="str">
        <f>IFERROR(Tableau1[[#This Row],[ID Unique]],"")</f>
        <v>EQAMAM1NEM1</v>
      </c>
      <c r="B129" t="str">
        <f>IFERROR(VLOOKUP($A129,'Consolidate List'!$A$2:$P$1048576,15,FALSE),"")</f>
        <v>4.9431207</v>
      </c>
      <c r="C129" t="str">
        <f>IFERROR(VLOOKUP($A129,'Consolidate List'!$A$2:$P$1048576,16,FALSE),"")</f>
        <v>https://orange0.sharepoint.com/sites/OBDCProximityServicesFieldOperationsRules/SitePages/Equinix-DataCenters-in-Netherlands.aspx</v>
      </c>
      <c r="D129" t="str">
        <f>IFERROR(VLOOKUP($A129,'Consolidate List'!$A$2:$P$1048576,8,FALSE),"")</f>
        <v>AMSC18</v>
      </c>
      <c r="F129" t="str">
        <f>IFERROR(VLOOKUP($A129,'Consolidate List'!$A$2:$P$1048576,12,FALSE),"")</f>
        <v>OUI</v>
      </c>
      <c r="G129" t="str">
        <f>IFERROR(VLOOKUP($A129,'Consolidate List'!$A$2:$P$1048576,11,FALSE),"")</f>
        <v>2 - Opportunistic</v>
      </c>
      <c r="H129" t="str">
        <f>IFERROR(VLOOKUP($A129,'Consolidate List'!$A$2:$P$1048576,9,FALSE),"")</f>
        <v>EC, Luttenbergweg 4, 1101 EC Amsterdam, Pays-Bas</v>
      </c>
      <c r="I129" t="str">
        <f>IFERROR(VLOOKUP($A129,'Consolidate List'!$A$2:$P$1048576,10,FALSE),"")</f>
        <v>AM1</v>
      </c>
      <c r="J129" t="str">
        <f>IFERROR(_xlfn.CONCAT((VLOOKUP($A129,'Consolidate List'!$A$2:$P$1048576,5,FALSE)),", ",VLOOKUP($A129,'Consolidate List'!$A$2:$P$1048576,6,FALSE)),"")</f>
        <v>Amsterdam, Amsterdam</v>
      </c>
      <c r="K129" t="str">
        <f>IFERROR(VLOOKUP($A129,'Consolidate List'!$A$2:$P$1048576,17,FALSE),"")</f>
        <v/>
      </c>
    </row>
    <row r="130" spans="1:11" x14ac:dyDescent="0.35">
      <c r="A130" t="str">
        <f>IFERROR(Tableau1[[#This Row],[ID Unique]],"")</f>
        <v>EQLOLONDUNSE</v>
      </c>
      <c r="B130" t="str">
        <f>IFERROR(VLOOKUP($A130,'Consolidate List'!$A$2:$P$1048576,15,FALSE),"")</f>
        <v>-0.0181943</v>
      </c>
      <c r="C130">
        <f>IFERROR(VLOOKUP($A130,'Consolidate List'!$A$2:$P$1048576,16,FALSE),"")</f>
        <v>0</v>
      </c>
      <c r="D130" t="str">
        <f>IFERROR(VLOOKUP($A130,'Consolidate List'!$A$2:$P$1048576,8,FALSE),"")</f>
        <v>LONX02</v>
      </c>
      <c r="F130" t="str">
        <f>IFERROR(VLOOKUP($A130,'Consolidate List'!$A$2:$P$1048576,12,FALSE),"")</f>
        <v>NON</v>
      </c>
      <c r="G130" t="str">
        <f>IFERROR(VLOOKUP($A130,'Consolidate List'!$A$2:$P$1048576,11,FALSE),"")</f>
        <v>5 - Closed</v>
      </c>
      <c r="H130" t="str">
        <f>IFERROR(VLOOKUP($A130,'Consolidate List'!$A$2:$P$1048576,9,FALSE),"")</f>
        <v>1 Muirfield Crescent- Off Pepper Street- London E14 9SZ</v>
      </c>
      <c r="I130" t="str">
        <f>IFERROR(VLOOKUP($A130,'Consolidate List'!$A$2:$P$1048576,10,FALSE),"")</f>
        <v>London - Archway House</v>
      </c>
      <c r="J130" t="str">
        <f>IFERROR(_xlfn.CONCAT((VLOOKUP($A130,'Consolidate List'!$A$2:$P$1048576,5,FALSE)),", ",VLOOKUP($A130,'Consolidate List'!$A$2:$P$1048576,6,FALSE)),"")</f>
        <v>London, London</v>
      </c>
      <c r="K130" t="str">
        <f>IFERROR(VLOOKUP($A130,'Consolidate List'!$A$2:$P$1048576,17,FALSE),"")</f>
        <v/>
      </c>
    </row>
    <row r="131" spans="1:11" x14ac:dyDescent="0.35">
      <c r="A131" t="str">
        <f>IFERROR(Tableau1[[#This Row],[ID Unique]],"")</f>
        <v>EQROPARKUNAL</v>
      </c>
      <c r="B131" t="str">
        <f>IFERROR(VLOOKUP($A131,'Consolidate List'!$A$2:$P$1048576,15,FALSE),"")</f>
        <v>-0.2618239</v>
      </c>
      <c r="C131">
        <f>IFERROR(VLOOKUP($A131,'Consolidate List'!$A$2:$P$1048576,16,FALSE),"")</f>
        <v>0</v>
      </c>
      <c r="D131" t="str">
        <f>IFERROR(VLOOKUP($A131,'Consolidate List'!$A$2:$P$1048576,8,FALSE),"")</f>
        <v>LONX04/LONX05</v>
      </c>
      <c r="F131" t="str">
        <f>IFERROR(VLOOKUP($A131,'Consolidate List'!$A$2:$P$1048576,12,FALSE),"")</f>
        <v>NON</v>
      </c>
      <c r="G131" t="str">
        <f>IFERROR(VLOOKUP($A131,'Consolidate List'!$A$2:$P$1048576,11,FALSE),"")</f>
        <v>4 - Frozen</v>
      </c>
      <c r="H131" t="str">
        <f>IFERROR(VLOOKUP($A131,'Consolidate List'!$A$2:$P$1048576,9,FALSE),"")</f>
        <v>Unit 2 - Ursula Lapp Ind Estate, Park Royal Bay, Old Oak Lane London NW10 6UD</v>
      </c>
      <c r="I131" t="str">
        <f>IFERROR(VLOOKUP($A131,'Consolidate List'!$A$2:$P$1048576,10,FALSE),"")</f>
        <v>Park Royal</v>
      </c>
      <c r="J131" t="str">
        <f>IFERROR(_xlfn.CONCAT((VLOOKUP($A131,'Consolidate List'!$A$2:$P$1048576,5,FALSE)),", ",VLOOKUP($A131,'Consolidate List'!$A$2:$P$1048576,6,FALSE)),"")</f>
        <v>London, Royal Park</v>
      </c>
      <c r="K131" t="str">
        <f>IFERROR(VLOOKUP($A131,'Consolidate List'!$A$2:$P$1048576,17,FALSE),"")</f>
        <v/>
      </c>
    </row>
    <row r="132" spans="1:11" x14ac:dyDescent="0.35">
      <c r="A132" t="str">
        <f>IFERROR(Tableau1[[#This Row],[ID Unique]],"")</f>
        <v>EQCACASAMA01</v>
      </c>
      <c r="B132" t="str">
        <f>IFERROR(VLOOKUP($A132,'Consolidate List'!$A$2:$P$1048576,15,FALSE),"")</f>
        <v>-7.587847699999999</v>
      </c>
      <c r="C132" t="str">
        <f>IFERROR(VLOOKUP($A132,'Consolidate List'!$A$2:$P$1048576,16,FALSE),"")</f>
        <v>https://orange0.sharepoint.com/sites/OBDCProximityServicesFieldOperationsRules/SitePages/OB-(Equant)-DataCenters-in-Morocco.aspx</v>
      </c>
      <c r="D132" t="str">
        <f>IFERROR(VLOOKUP($A132,'Consolidate List'!$A$2:$P$1048576,8,FALSE),"")</f>
        <v>CASA01</v>
      </c>
      <c r="F132" t="str">
        <f>IFERROR(VLOOKUP($A132,'Consolidate List'!$A$2:$P$1048576,12,FALSE),"")</f>
        <v>OUI</v>
      </c>
      <c r="G132" t="str">
        <f>IFERROR(VLOOKUP($A132,'Consolidate List'!$A$2:$P$1048576,11,FALSE),"")</f>
        <v>2 - Opportunistic</v>
      </c>
      <c r="H132" t="str">
        <f>IFERROR(VLOOKUP($A132,'Consolidate List'!$A$2:$P$1048576,9,FALSE),"")</f>
        <v>Mohammed 5 Airport, Nouacer Office 2099</v>
      </c>
      <c r="I132" t="str">
        <f>IFERROR(VLOOKUP($A132,'Consolidate List'!$A$2:$P$1048576,10,FALSE),"")</f>
        <v>CASA01</v>
      </c>
      <c r="J132" t="str">
        <f>IFERROR(_xlfn.CONCAT((VLOOKUP($A132,'Consolidate List'!$A$2:$P$1048576,5,FALSE)),", ",VLOOKUP($A132,'Consolidate List'!$A$2:$P$1048576,6,FALSE)),"")</f>
        <v>Casablanca, Casablanca</v>
      </c>
      <c r="K132" t="str">
        <f>IFERROR(VLOOKUP($A132,'Consolidate List'!$A$2:$P$1048576,17,FALSE),"")</f>
        <v/>
      </c>
    </row>
    <row r="133" spans="1:11" x14ac:dyDescent="0.35">
      <c r="A133" t="str">
        <f>IFERROR(Tableau1[[#This Row],[ID Unique]],"")</f>
        <v>EQHOEQUAUNSE</v>
      </c>
      <c r="B133" t="str">
        <f>IFERROR(VLOOKUP($A133,'Consolidate List'!$A$2:$P$1048576,15,FALSE),"")</f>
        <v>-0.3647594</v>
      </c>
      <c r="C133">
        <f>IFERROR(VLOOKUP($A133,'Consolidate List'!$A$2:$P$1048576,16,FALSE),"")</f>
        <v>0</v>
      </c>
      <c r="D133" t="str">
        <f>IFERROR(VLOOKUP($A133,'Consolidate List'!$A$2:$P$1048576,8,FALSE),"")</f>
        <v>LONH04/LONT01</v>
      </c>
      <c r="F133" t="str">
        <f>IFERROR(VLOOKUP($A133,'Consolidate List'!$A$2:$P$1048576,12,FALSE),"")</f>
        <v>NON</v>
      </c>
      <c r="G133" t="str">
        <f>IFERROR(VLOOKUP($A133,'Consolidate List'!$A$2:$P$1048576,11,FALSE),"")</f>
        <v>4 - Frozen</v>
      </c>
      <c r="H133" t="str">
        <f>IFERROR(VLOOKUP($A133,'Consolidate List'!$A$2:$P$1048576,9,FALSE),"")</f>
        <v>1st Floor Lampton House  Lampton Road, Hounslow, TW3 4EY</v>
      </c>
      <c r="I133" t="str">
        <f>IFERROR(VLOOKUP($A133,'Consolidate List'!$A$2:$P$1048576,10,FALSE),"")</f>
        <v>Equant Lampton House</v>
      </c>
      <c r="J133" t="str">
        <f>IFERROR(_xlfn.CONCAT((VLOOKUP($A133,'Consolidate List'!$A$2:$P$1048576,5,FALSE)),", ",VLOOKUP($A133,'Consolidate List'!$A$2:$P$1048576,6,FALSE)),"")</f>
        <v>London, Hounslow</v>
      </c>
      <c r="K133" t="str">
        <f>IFERROR(VLOOKUP($A133,'Consolidate List'!$A$2:$P$1048576,17,FALSE),"")</f>
        <v/>
      </c>
    </row>
    <row r="134" spans="1:11" x14ac:dyDescent="0.35">
      <c r="A134" t="str">
        <f>IFERROR(Tableau1[[#This Row],[ID Unique]],"")</f>
        <v>EQAMAM2NEM2</v>
      </c>
      <c r="B134" t="str">
        <f>IFERROR(VLOOKUP($A134,'Consolidate List'!$A$2:$P$1048576,15,FALSE),"")</f>
        <v>4.9431207</v>
      </c>
      <c r="C134" t="str">
        <f>IFERROR(VLOOKUP($A134,'Consolidate List'!$A$2:$P$1048576,16,FALSE),"")</f>
        <v>https://orange0.sharepoint.com/sites/OBDCProximityServicesFieldOperationsRules/SitePages/Equinix-DataCenters-in-Netherlands.aspx</v>
      </c>
      <c r="D134" t="str">
        <f>IFERROR(VLOOKUP($A134,'Consolidate List'!$A$2:$P$1048576,8,FALSE),"")</f>
        <v>not found on GINI</v>
      </c>
      <c r="F134" t="str">
        <f>IFERROR(VLOOKUP($A134,'Consolidate List'!$A$2:$P$1048576,12,FALSE),"")</f>
        <v>OUI</v>
      </c>
      <c r="G134" t="str">
        <f>IFERROR(VLOOKUP($A134,'Consolidate List'!$A$2:$P$1048576,11,FALSE),"")</f>
        <v>2 - Opportunistic</v>
      </c>
      <c r="H134" t="str">
        <f>IFERROR(VLOOKUP($A134,'Consolidate List'!$A$2:$P$1048576,9,FALSE),"")</f>
        <v>EC, Luttenbergweg 4, 1101 EC Amsterdam, Pays-Bas</v>
      </c>
      <c r="I134" t="str">
        <f>IFERROR(VLOOKUP($A134,'Consolidate List'!$A$2:$P$1048576,10,FALSE),"")</f>
        <v>AM2</v>
      </c>
      <c r="J134" t="str">
        <f>IFERROR(_xlfn.CONCAT((VLOOKUP($A134,'Consolidate List'!$A$2:$P$1048576,5,FALSE)),", ",VLOOKUP($A134,'Consolidate List'!$A$2:$P$1048576,6,FALSE)),"")</f>
        <v>Amsterdam, Amsterdam</v>
      </c>
      <c r="K134" t="str">
        <f>IFERROR(VLOOKUP($A134,'Consolidate List'!$A$2:$P$1048576,17,FALSE),"")</f>
        <v/>
      </c>
    </row>
    <row r="135" spans="1:11" x14ac:dyDescent="0.35">
      <c r="A135" t="str">
        <f>IFERROR(Tableau1[[#This Row],[ID Unique]],"")</f>
        <v>EQBOBX1FRX1</v>
      </c>
      <c r="B135" t="str">
        <f>IFERROR(VLOOKUP($A135,'Consolidate List'!$A$2:$P$1048576,15,FALSE),"")</f>
        <v>-0.611387</v>
      </c>
      <c r="C135" t="str">
        <f>IFERROR(VLOOKUP($A135,'Consolidate List'!$A$2:$P$1048576,16,FALSE),"")</f>
        <v>https://orange0.sharepoint.com/sites/OBDCProximityServicesFieldOperationsRules/SitePages/Equinix-DataCenters-in-Bordeaux.aspx</v>
      </c>
      <c r="D135" t="str">
        <f>IFERROR(VLOOKUP($A135,'Consolidate List'!$A$2:$P$1048576,8,FALSE),"")</f>
        <v>BODF03</v>
      </c>
      <c r="F135" t="str">
        <f>IFERROR(VLOOKUP($A135,'Consolidate List'!$A$2:$P$1048576,12,FALSE),"")</f>
        <v>OUI</v>
      </c>
      <c r="G135" t="str">
        <f>IFERROR(VLOOKUP($A135,'Consolidate List'!$A$2:$P$1048576,11,FALSE),"")</f>
        <v>2 - Opportunistic</v>
      </c>
      <c r="H135" t="str">
        <f>IFERROR(VLOOKUP($A135,'Consolidate List'!$A$2:$P$1048576,9,FALSE),"")</f>
        <v>39 Rue de Strasbourg, 33520 Bruges</v>
      </c>
      <c r="I135" t="str">
        <f>IFERROR(VLOOKUP($A135,'Consolidate List'!$A$2:$P$1048576,10,FALSE),"")</f>
        <v>BX1</v>
      </c>
      <c r="J135" t="str">
        <f>IFERROR(_xlfn.CONCAT((VLOOKUP($A135,'Consolidate List'!$A$2:$P$1048576,5,FALSE)),", ",VLOOKUP($A135,'Consolidate List'!$A$2:$P$1048576,6,FALSE)),"")</f>
        <v>Bordeaux, Bordeaux</v>
      </c>
      <c r="K135" t="str">
        <f>IFERROR(VLOOKUP($A135,'Consolidate List'!$A$2:$P$1048576,17,FALSE),"")</f>
        <v/>
      </c>
    </row>
    <row r="136" spans="1:11" x14ac:dyDescent="0.35">
      <c r="A136" t="str">
        <f>IFERROR(Tableau1[[#This Row],[ID Unique]],"")</f>
        <v>EQCHCH3UNH3</v>
      </c>
      <c r="B136" t="str">
        <f>IFERROR(VLOOKUP($A136,'Consolidate List'!$A$2:$P$1048576,15,FALSE),"")</f>
        <v>-87.9548634</v>
      </c>
      <c r="C136">
        <f>IFERROR(VLOOKUP($A136,'Consolidate List'!$A$2:$P$1048576,16,FALSE),"")</f>
        <v>0</v>
      </c>
      <c r="D136" t="str">
        <f>IFERROR(VLOOKUP($A136,'Consolidate List'!$A$2:$P$1048576,8,FALSE),"")</f>
        <v>ORDC01</v>
      </c>
      <c r="F136" t="str">
        <f>IFERROR(VLOOKUP($A136,'Consolidate List'!$A$2:$P$1048576,12,FALSE),"")</f>
        <v>NON</v>
      </c>
      <c r="G136" t="str">
        <f>IFERROR(VLOOKUP($A136,'Consolidate List'!$A$2:$P$1048576,11,FALSE),"")</f>
        <v>4 - Frozen</v>
      </c>
      <c r="H136" t="str">
        <f>IFERROR(VLOOKUP($A136,'Consolidate List'!$A$2:$P$1048576,9,FALSE),"")</f>
        <v xml:space="preserve">1905 Lunt Ave.  Elk Grove Village, IL 60007 </v>
      </c>
      <c r="I136" t="str">
        <f>IFERROR(VLOOKUP($A136,'Consolidate List'!$A$2:$P$1048576,10,FALSE),"")</f>
        <v>CH3</v>
      </c>
      <c r="J136" t="str">
        <f>IFERROR(_xlfn.CONCAT((VLOOKUP($A136,'Consolidate List'!$A$2:$P$1048576,5,FALSE)),", ",VLOOKUP($A136,'Consolidate List'!$A$2:$P$1048576,6,FALSE)),"")</f>
        <v>Illinois, Chicago</v>
      </c>
      <c r="K136" t="str">
        <f>IFERROR(VLOOKUP($A136,'Consolidate List'!$A$2:$P$1048576,17,FALSE),"")</f>
        <v/>
      </c>
    </row>
    <row r="137" spans="1:11" x14ac:dyDescent="0.35">
      <c r="A137" t="str">
        <f>IFERROR(Tableau1[[#This Row],[ID Unique]],"")</f>
        <v>EQSAPA2FRA2</v>
      </c>
      <c r="B137" t="str">
        <f>IFERROR(VLOOKUP($A137,'Consolidate List'!$A$2:$P$1048576,15,FALSE),"")</f>
        <v>2.352084</v>
      </c>
      <c r="C137" t="str">
        <f>IFERROR(VLOOKUP($A137,'Consolidate List'!$A$2:$P$1048576,16,FALSE),"")</f>
        <v>https://orange0.sharepoint.com/sites/OBDCProximityServicesFieldOperationsRules/SitePages/Equinix-DataCenters-in-%C3%8Ele-de-France.aspx</v>
      </c>
      <c r="D137" t="str">
        <f>IFERROR(VLOOKUP($A137,'Consolidate List'!$A$2:$P$1048576,8,FALSE),"")</f>
        <v>not found on GINI</v>
      </c>
      <c r="F137" t="str">
        <f>IFERROR(VLOOKUP($A137,'Consolidate List'!$A$2:$P$1048576,12,FALSE),"")</f>
        <v>OUI</v>
      </c>
      <c r="G137" t="str">
        <f>IFERROR(VLOOKUP($A137,'Consolidate List'!$A$2:$P$1048576,11,FALSE),"")</f>
        <v>1 - Major</v>
      </c>
      <c r="H137" t="str">
        <f>IFERROR(VLOOKUP($A137,'Consolidate List'!$A$2:$P$1048576,9,FALSE),"")</f>
        <v>114 rue Ambroise Croizat, 93200 Saint Denis</v>
      </c>
      <c r="I137" t="str">
        <f>IFERROR(VLOOKUP($A137,'Consolidate List'!$A$2:$P$1048576,10,FALSE),"")</f>
        <v>PA2</v>
      </c>
      <c r="J137" t="str">
        <f>IFERROR(_xlfn.CONCAT((VLOOKUP($A137,'Consolidate List'!$A$2:$P$1048576,5,FALSE)),", ",VLOOKUP($A137,'Consolidate List'!$A$2:$P$1048576,6,FALSE)),"")</f>
        <v>Paris, Saint Denis</v>
      </c>
      <c r="K137" t="str">
        <f>IFERROR(VLOOKUP($A137,'Consolidate List'!$A$2:$P$1048576,17,FALSE),"")</f>
        <v/>
      </c>
    </row>
    <row r="138" spans="1:11" x14ac:dyDescent="0.35">
      <c r="A138" t="str">
        <f>IFERROR(Tableau1[[#This Row],[ID Unique]],"")</f>
        <v>EQSAPA3FRA3</v>
      </c>
      <c r="B138" t="str">
        <f>IFERROR(VLOOKUP($A138,'Consolidate List'!$A$2:$P$1048576,15,FALSE),"")</f>
        <v>2.352084</v>
      </c>
      <c r="C138" t="str">
        <f>IFERROR(VLOOKUP($A138,'Consolidate List'!$A$2:$P$1048576,16,FALSE),"")</f>
        <v>https://orange0.sharepoint.com/sites/OBDCProximityServicesFieldOperationsRules/SitePages/Equinix-DataCenters-in-%C3%8Ele-de-France.aspx</v>
      </c>
      <c r="D138" t="str">
        <f>IFERROR(VLOOKUP($A138,'Consolidate List'!$A$2:$P$1048576,8,FALSE),"")</f>
        <v>PARP29</v>
      </c>
      <c r="F138" t="str">
        <f>IFERROR(VLOOKUP($A138,'Consolidate List'!$A$2:$P$1048576,12,FALSE),"")</f>
        <v>OUI</v>
      </c>
      <c r="G138" t="str">
        <f>IFERROR(VLOOKUP($A138,'Consolidate List'!$A$2:$P$1048576,11,FALSE),"")</f>
        <v>1 - Major</v>
      </c>
      <c r="H138" t="str">
        <f>IFERROR(VLOOKUP($A138,'Consolidate List'!$A$2:$P$1048576,9,FALSE),"")</f>
        <v>114 rue Ambroise Croizat, 93200 Saint Denis</v>
      </c>
      <c r="I138" t="str">
        <f>IFERROR(VLOOKUP($A138,'Consolidate List'!$A$2:$P$1048576,10,FALSE),"")</f>
        <v>PA3</v>
      </c>
      <c r="J138" t="str">
        <f>IFERROR(_xlfn.CONCAT((VLOOKUP($A138,'Consolidate List'!$A$2:$P$1048576,5,FALSE)),", ",VLOOKUP($A138,'Consolidate List'!$A$2:$P$1048576,6,FALSE)),"")</f>
        <v>Paris, Saint Denis</v>
      </c>
      <c r="K138" t="str">
        <f>IFERROR(VLOOKUP($A138,'Consolidate List'!$A$2:$P$1048576,17,FALSE),"")</f>
        <v/>
      </c>
    </row>
    <row r="139" spans="1:11" x14ac:dyDescent="0.35">
      <c r="A139" t="str">
        <f>IFERROR(Tableau1[[#This Row],[ID Unique]],"")</f>
        <v>EQPAPA4FRA4</v>
      </c>
      <c r="B139" t="str">
        <f>IFERROR(VLOOKUP($A139,'Consolidate List'!$A$2:$P$1048576,15,FALSE),"")</f>
        <v>2.4176467</v>
      </c>
      <c r="C139" t="str">
        <f>IFERROR(VLOOKUP($A139,'Consolidate List'!$A$2:$P$1048576,16,FALSE),"")</f>
        <v>https://orange0.sharepoint.com/sites/OBDCProximityServicesFieldOperationsRules/SitePages/Equinix-DataCenters-in-%C3%8Ele-de-France.aspx</v>
      </c>
      <c r="D139" t="str">
        <f>IFERROR(VLOOKUP($A139,'Consolidate List'!$A$2:$P$1048576,8,FALSE),"")</f>
        <v>PARP30</v>
      </c>
      <c r="F139" t="str">
        <f>IFERROR(VLOOKUP($A139,'Consolidate List'!$A$2:$P$1048576,12,FALSE),"")</f>
        <v>OUI</v>
      </c>
      <c r="G139" t="str">
        <f>IFERROR(VLOOKUP($A139,'Consolidate List'!$A$2:$P$1048576,11,FALSE),"")</f>
        <v>1 - Major</v>
      </c>
      <c r="H139" t="str">
        <f>IFERROR(VLOOKUP($A139,'Consolidate List'!$A$2:$P$1048576,9,FALSE),"")</f>
        <v>110 Bis avenue du Général Leclerc, 93500, Pantin, Bâtiment 19, Pantin, FR, 93300</v>
      </c>
      <c r="I139" t="str">
        <f>IFERROR(VLOOKUP($A139,'Consolidate List'!$A$2:$P$1048576,10,FALSE),"")</f>
        <v>PA4</v>
      </c>
      <c r="J139" t="str">
        <f>IFERROR(_xlfn.CONCAT((VLOOKUP($A139,'Consolidate List'!$A$2:$P$1048576,5,FALSE)),", ",VLOOKUP($A139,'Consolidate List'!$A$2:$P$1048576,6,FALSE)),"")</f>
        <v>Paris, Pantin</v>
      </c>
      <c r="K139" t="str">
        <f>IFERROR(VLOOKUP($A139,'Consolidate List'!$A$2:$P$1048576,17,FALSE),"")</f>
        <v/>
      </c>
    </row>
    <row r="140" spans="1:11" x14ac:dyDescent="0.35">
      <c r="A140" t="str">
        <f>IFERROR(Tableau1[[#This Row],[ID Unique]],"")</f>
        <v>EQCOPA5FRA5</v>
      </c>
      <c r="B140" t="str">
        <f>IFERROR(VLOOKUP($A140,'Consolidate List'!$A$2:$P$1048576,15,FALSE),"")</f>
        <v>2.3688383</v>
      </c>
      <c r="C140" t="str">
        <f>IFERROR(VLOOKUP($A140,'Consolidate List'!$A$2:$P$1048576,16,FALSE),"")</f>
        <v>https://orange0.sharepoint.com/sites/OBDCProximityServicesFieldOperationsRules/SitePages/Equinix-DataCenters-in-%C3%8Ele-de-France.aspx</v>
      </c>
      <c r="D140" t="str">
        <f>IFERROR(VLOOKUP($A140,'Consolidate List'!$A$2:$P$1048576,8,FALSE),"")</f>
        <v>PARF06</v>
      </c>
      <c r="F140" t="str">
        <f>IFERROR(VLOOKUP($A140,'Consolidate List'!$A$2:$P$1048576,12,FALSE),"")</f>
        <v>OUI</v>
      </c>
      <c r="G140" t="str">
        <f>IFERROR(VLOOKUP($A140,'Consolidate List'!$A$2:$P$1048576,11,FALSE),"")</f>
        <v>2 - Opportunistic</v>
      </c>
      <c r="H140" t="str">
        <f>IFERROR(VLOOKUP($A140,'Consolidate List'!$A$2:$P$1048576,9,FALSE),"")</f>
        <v>Immeuble 254, Parc Icade Les Portes de Paris, 45 Av. Victor Hugo, 93300 Aubervilliers</v>
      </c>
      <c r="I140" t="str">
        <f>IFERROR(VLOOKUP($A140,'Consolidate List'!$A$2:$P$1048576,10,FALSE),"")</f>
        <v>PA5</v>
      </c>
      <c r="J140" t="str">
        <f>IFERROR(_xlfn.CONCAT((VLOOKUP($A140,'Consolidate List'!$A$2:$P$1048576,5,FALSE)),", ",VLOOKUP($A140,'Consolidate List'!$A$2:$P$1048576,6,FALSE)),"")</f>
        <v>Paris, Courbevoie</v>
      </c>
      <c r="K140" t="str">
        <f>IFERROR(VLOOKUP($A140,'Consolidate List'!$A$2:$P$1048576,17,FALSE),"")</f>
        <v/>
      </c>
    </row>
    <row r="141" spans="1:11" x14ac:dyDescent="0.35">
      <c r="A141" t="str">
        <f>IFERROR(Tableau1[[#This Row],[ID Unique]],"")</f>
        <v>EQCOPA6FRA6</v>
      </c>
      <c r="B141" t="str">
        <f>IFERROR(VLOOKUP($A141,'Consolidate List'!$A$2:$P$1048576,15,FALSE),"")</f>
        <v>2.368007</v>
      </c>
      <c r="C141" t="str">
        <f>IFERROR(VLOOKUP($A141,'Consolidate List'!$A$2:$P$1048576,16,FALSE),"")</f>
        <v>https://orange0.sharepoint.com/sites/OBDCProximityServicesFieldOperationsRules/SitePages/Equinix-DataCenters-in-%C3%8Ele-de-France.aspx</v>
      </c>
      <c r="D141" t="str">
        <f>IFERROR(VLOOKUP($A141,'Consolidate List'!$A$2:$P$1048576,8,FALSE),"")</f>
        <v>PARP31</v>
      </c>
      <c r="F141" t="str">
        <f>IFERROR(VLOOKUP($A141,'Consolidate List'!$A$2:$P$1048576,12,FALSE),"")</f>
        <v>OUI</v>
      </c>
      <c r="G141" t="str">
        <f>IFERROR(VLOOKUP($A141,'Consolidate List'!$A$2:$P$1048576,11,FALSE),"")</f>
        <v>1 - Major</v>
      </c>
      <c r="H141" t="str">
        <f>IFERROR(VLOOKUP($A141,'Consolidate List'!$A$2:$P$1048576,9,FALSE),"")</f>
        <v>10 rue Waldeck Rochet, Building 520, 93300 Aubervilliers</v>
      </c>
      <c r="I141" t="str">
        <f>IFERROR(VLOOKUP($A141,'Consolidate List'!$A$2:$P$1048576,10,FALSE),"")</f>
        <v>PA6</v>
      </c>
      <c r="J141" t="str">
        <f>IFERROR(_xlfn.CONCAT((VLOOKUP($A141,'Consolidate List'!$A$2:$P$1048576,5,FALSE)),", ",VLOOKUP($A141,'Consolidate List'!$A$2:$P$1048576,6,FALSE)),"")</f>
        <v>Paris, Courbevoie</v>
      </c>
      <c r="K141" t="str">
        <f>IFERROR(VLOOKUP($A141,'Consolidate List'!$A$2:$P$1048576,17,FALSE),"")</f>
        <v/>
      </c>
    </row>
    <row r="142" spans="1:11" x14ac:dyDescent="0.35">
      <c r="A142" t="str">
        <f>IFERROR(Tableau1[[#This Row],[ID Unique]],"")</f>
        <v>EQCOPA7FRA7</v>
      </c>
      <c r="B142" t="str">
        <f>IFERROR(VLOOKUP($A142,'Consolidate List'!$A$2:$P$1048576,15,FALSE),"")</f>
        <v>2.2574815</v>
      </c>
      <c r="C142" t="str">
        <f>IFERROR(VLOOKUP($A142,'Consolidate List'!$A$2:$P$1048576,16,FALSE),"")</f>
        <v>https://orange0.sharepoint.com/sites/OBDCProximityServicesFieldOperationsRules/SitePages/Equinix-DataCenters-in-%C3%8Ele-de-France.aspx</v>
      </c>
      <c r="D142" t="str">
        <f>IFERROR(VLOOKUP($A142,'Consolidate List'!$A$2:$P$1048576,8,FALSE),"")</f>
        <v>not found on GINI</v>
      </c>
      <c r="F142" t="str">
        <f>IFERROR(VLOOKUP($A142,'Consolidate List'!$A$2:$P$1048576,12,FALSE),"")</f>
        <v>OUI</v>
      </c>
      <c r="G142" t="str">
        <f>IFERROR(VLOOKUP($A142,'Consolidate List'!$A$2:$P$1048576,11,FALSE),"")</f>
        <v>2 - Opportunistic</v>
      </c>
      <c r="H142" t="str">
        <f>IFERROR(VLOOKUP($A142,'Consolidate List'!$A$2:$P$1048576,9,FALSE),"")</f>
        <v>130-136 Bd de Verdun, 92400 Courbevoie</v>
      </c>
      <c r="I142" t="str">
        <f>IFERROR(VLOOKUP($A142,'Consolidate List'!$A$2:$P$1048576,10,FALSE),"")</f>
        <v>PA7</v>
      </c>
      <c r="J142" t="str">
        <f>IFERROR(_xlfn.CONCAT((VLOOKUP($A142,'Consolidate List'!$A$2:$P$1048576,5,FALSE)),", ",VLOOKUP($A142,'Consolidate List'!$A$2:$P$1048576,6,FALSE)),"")</f>
        <v>Paris, Courbevoie</v>
      </c>
      <c r="K142" t="str">
        <f>IFERROR(VLOOKUP($A142,'Consolidate List'!$A$2:$P$1048576,17,FALSE),"")</f>
        <v/>
      </c>
    </row>
    <row r="143" spans="1:11" x14ac:dyDescent="0.35">
      <c r="A143" t="str">
        <f>IFERROR(Tableau1[[#This Row],[ID Unique]],"")</f>
        <v>CONENY1UNY1</v>
      </c>
      <c r="B143" t="str">
        <f>IFERROR(VLOOKUP($A143,'Consolidate List'!$A$2:$P$1048576,15,FALSE),"")</f>
        <v>-74.00474779999999</v>
      </c>
      <c r="C143">
        <f>IFERROR(VLOOKUP($A143,'Consolidate List'!$A$2:$P$1048576,16,FALSE),"")</f>
        <v>0</v>
      </c>
      <c r="D143" t="str">
        <f>IFERROR(VLOOKUP($A143,'Consolidate List'!$A$2:$P$1048576,8,FALSE),"")</f>
        <v>not found on GINI</v>
      </c>
      <c r="F143" t="str">
        <f>IFERROR(VLOOKUP($A143,'Consolidate List'!$A$2:$P$1048576,12,FALSE),"")</f>
        <v>NON</v>
      </c>
      <c r="G143" t="str">
        <f>IFERROR(VLOOKUP($A143,'Consolidate List'!$A$2:$P$1048576,11,FALSE),"")</f>
        <v>5 - Closed</v>
      </c>
      <c r="H143" t="str">
        <f>IFERROR(VLOOKUP($A143,'Consolidate List'!$A$2:$P$1048576,9,FALSE),"")</f>
        <v>32 6th Ave # 70, New York, NY 10013</v>
      </c>
      <c r="I143" t="str">
        <f>IFERROR(VLOOKUP($A143,'Consolidate List'!$A$2:$P$1048576,10,FALSE),"")</f>
        <v>NY1</v>
      </c>
      <c r="J143" t="str">
        <f>IFERROR(_xlfn.CONCAT((VLOOKUP($A143,'Consolidate List'!$A$2:$P$1048576,5,FALSE)),", ",VLOOKUP($A143,'Consolidate List'!$A$2:$P$1048576,6,FALSE)),"")</f>
        <v>New York, New York</v>
      </c>
      <c r="K143" t="str">
        <f>IFERROR(VLOOKUP($A143,'Consolidate List'!$A$2:$P$1048576,17,FALSE),"")</f>
        <v/>
      </c>
    </row>
    <row r="144" spans="1:11" x14ac:dyDescent="0.35">
      <c r="A144" t="str">
        <f>IFERROR(Tableau1[[#This Row],[ID Unique]],"")</f>
        <v>EQFRFR2GER2</v>
      </c>
      <c r="B144">
        <f>IFERROR(VLOOKUP($A144,'Consolidate List'!$A$2:$P$1048576,15,FALSE),"")</f>
        <v>8.7407615252206892</v>
      </c>
      <c r="C144" t="str">
        <f>IFERROR(VLOOKUP($A144,'Consolidate List'!$A$2:$P$1048576,16,FALSE),"")</f>
        <v>https://orange0.sharepoint.com/sites/OBDCProximityServicesFieldOperationsRules/SitePages/Equinix-DataCenters-in-Germany.aspx</v>
      </c>
      <c r="D144" t="str">
        <f>IFERROR(VLOOKUP($A144,'Consolidate List'!$A$2:$P$1048576,8,FALSE),"")</f>
        <v>FRAT11</v>
      </c>
      <c r="F144" t="str">
        <f>IFERROR(VLOOKUP($A144,'Consolidate List'!$A$2:$P$1048576,12,FALSE),"")</f>
        <v>OUI</v>
      </c>
      <c r="G144" t="str">
        <f>IFERROR(VLOOKUP($A144,'Consolidate List'!$A$2:$P$1048576,11,FALSE),"")</f>
        <v>2 - Opportunistic</v>
      </c>
      <c r="H144" t="str">
        <f>IFERROR(VLOOKUP($A144,'Consolidate List'!$A$2:$P$1048576,9,FALSE),"")</f>
        <v>Kruppstrasse 121-127, Frankfurt, Germany, 60388</v>
      </c>
      <c r="I144" t="str">
        <f>IFERROR(VLOOKUP($A144,'Consolidate List'!$A$2:$P$1048576,10,FALSE),"")</f>
        <v>FR2</v>
      </c>
      <c r="J144" t="str">
        <f>IFERROR(_xlfn.CONCAT((VLOOKUP($A144,'Consolidate List'!$A$2:$P$1048576,5,FALSE)),", ",VLOOKUP($A144,'Consolidate List'!$A$2:$P$1048576,6,FALSE)),"")</f>
        <v>Frankfurt, Frankfurt</v>
      </c>
      <c r="K144" t="str">
        <f>IFERROR(VLOOKUP($A144,'Consolidate List'!$A$2:$P$1048576,17,FALSE),"")</f>
        <v/>
      </c>
    </row>
    <row r="145" spans="1:11" x14ac:dyDescent="0.35">
      <c r="A145" t="str">
        <f>IFERROR(Tableau1[[#This Row],[ID Unique]],"")</f>
        <v>NTSTSTERUNNG</v>
      </c>
      <c r="B145" t="str">
        <f>IFERROR(VLOOKUP($A145,'Consolidate List'!$A$2:$P$1048576,15,FALSE),"")</f>
        <v>-77.43158559999999</v>
      </c>
      <c r="C145">
        <f>IFERROR(VLOOKUP($A145,'Consolidate List'!$A$2:$P$1048576,16,FALSE),"")</f>
        <v>0</v>
      </c>
      <c r="D145" t="str">
        <f>IFERROR(VLOOKUP($A145,'Consolidate List'!$A$2:$P$1048576,8,FALSE),"")</f>
        <v>IADD01</v>
      </c>
      <c r="F145" t="str">
        <f>IFERROR(VLOOKUP($A145,'Consolidate List'!$A$2:$P$1048576,12,FALSE),"")</f>
        <v>NON</v>
      </c>
      <c r="G145" t="str">
        <f>IFERROR(VLOOKUP($A145,'Consolidate List'!$A$2:$P$1048576,11,FALSE),"")</f>
        <v>5 - Closed</v>
      </c>
      <c r="H145" t="str">
        <f>IFERROR(VLOOKUP($A145,'Consolidate List'!$A$2:$P$1048576,9,FALSE),"")</f>
        <v>22451 Shaw Road      Sterling, VA  20166</v>
      </c>
      <c r="I145" t="str">
        <f>IFERROR(VLOOKUP($A145,'Consolidate List'!$A$2:$P$1048576,10,FALSE),"")</f>
        <v>Sterling</v>
      </c>
      <c r="J145" t="str">
        <f>IFERROR(_xlfn.CONCAT((VLOOKUP($A145,'Consolidate List'!$A$2:$P$1048576,5,FALSE)),", ",VLOOKUP($A145,'Consolidate List'!$A$2:$P$1048576,6,FALSE)),"")</f>
        <v>Sterling, Sterling</v>
      </c>
      <c r="K145" t="str">
        <f>IFERROR(VLOOKUP($A145,'Consolidate List'!$A$2:$P$1048576,17,FALSE),"")</f>
        <v/>
      </c>
    </row>
    <row r="146" spans="1:11" x14ac:dyDescent="0.35">
      <c r="A146" t="str">
        <f>IFERROR(Tableau1[[#This Row],[ID Unique]],"")</f>
        <v>EQFRFR4GER4</v>
      </c>
      <c r="B146">
        <f>IFERROR(VLOOKUP($A146,'Consolidate List'!$A$2:$P$1048576,15,FALSE),"")</f>
        <v>8.5879949963812194</v>
      </c>
      <c r="C146" t="str">
        <f>IFERROR(VLOOKUP($A146,'Consolidate List'!$A$2:$P$1048576,16,FALSE),"")</f>
        <v>https://orange0.sharepoint.com/sites/OBDCProximityServicesFieldOperationsRules/SitePages/Equinix-DataCenters-in-Germany.aspx</v>
      </c>
      <c r="D146" t="str">
        <f>IFERROR(VLOOKUP($A146,'Consolidate List'!$A$2:$P$1048576,8,FALSE),"")</f>
        <v>FRAT10</v>
      </c>
      <c r="F146" t="str">
        <f>IFERROR(VLOOKUP($A146,'Consolidate List'!$A$2:$P$1048576,12,FALSE),"")</f>
        <v>OUI</v>
      </c>
      <c r="G146" t="str">
        <f>IFERROR(VLOOKUP($A146,'Consolidate List'!$A$2:$P$1048576,11,FALSE),"")</f>
        <v>1 - Major</v>
      </c>
      <c r="H146" t="str">
        <f>IFERROR(VLOOKUP($A146,'Consolidate List'!$A$2:$P$1048576,9,FALSE),"")</f>
        <v>Larchenstrasse 110, Frankfurt, Germany, 65933</v>
      </c>
      <c r="I146" t="str">
        <f>IFERROR(VLOOKUP($A146,'Consolidate List'!$A$2:$P$1048576,10,FALSE),"")</f>
        <v>FR4</v>
      </c>
      <c r="J146" t="str">
        <f>IFERROR(_xlfn.CONCAT((VLOOKUP($A146,'Consolidate List'!$A$2:$P$1048576,5,FALSE)),", ",VLOOKUP($A146,'Consolidate List'!$A$2:$P$1048576,6,FALSE)),"")</f>
        <v>Frankfurt, Frankfurt</v>
      </c>
      <c r="K146" t="str">
        <f>IFERROR(VLOOKUP($A146,'Consolidate List'!$A$2:$P$1048576,17,FALSE),"")</f>
        <v/>
      </c>
    </row>
    <row r="147" spans="1:11" x14ac:dyDescent="0.35">
      <c r="A147" t="str">
        <f>IFERROR(Tableau1[[#This Row],[ID Unique]],"")</f>
        <v>EQFRFR5GER5</v>
      </c>
      <c r="B147">
        <f>IFERROR(VLOOKUP($A147,'Consolidate List'!$A$2:$P$1048576,15,FALSE),"")</f>
        <v>8.6320118372871502</v>
      </c>
      <c r="C147" t="str">
        <f>IFERROR(VLOOKUP($A147,'Consolidate List'!$A$2:$P$1048576,16,FALSE),"")</f>
        <v>https://orange0.sharepoint.com/sites/OBDCProximityServicesFieldOperationsRules/SitePages/Equinix-DataCenters-in-Germany.aspx</v>
      </c>
      <c r="D147" t="str">
        <f>IFERROR(VLOOKUP($A147,'Consolidate List'!$A$2:$P$1048576,8,FALSE),"")</f>
        <v>FRAC23</v>
      </c>
      <c r="F147" t="str">
        <f>IFERROR(VLOOKUP($A147,'Consolidate List'!$A$2:$P$1048576,12,FALSE),"")</f>
        <v>OUI</v>
      </c>
      <c r="G147" t="str">
        <f>IFERROR(VLOOKUP($A147,'Consolidate List'!$A$2:$P$1048576,11,FALSE),"")</f>
        <v>2 - Opportunistic</v>
      </c>
      <c r="H147" t="str">
        <f>IFERROR(VLOOKUP($A147,'Consolidate List'!$A$2:$P$1048576,9,FALSE),"")</f>
        <v>Kleyerstraße 90 60326 Frankfurt am Main, Germany</v>
      </c>
      <c r="I147" t="str">
        <f>IFERROR(VLOOKUP($A147,'Consolidate List'!$A$2:$P$1048576,10,FALSE),"")</f>
        <v>FR5</v>
      </c>
      <c r="J147" t="str">
        <f>IFERROR(_xlfn.CONCAT((VLOOKUP($A147,'Consolidate List'!$A$2:$P$1048576,5,FALSE)),", ",VLOOKUP($A147,'Consolidate List'!$A$2:$P$1048576,6,FALSE)),"")</f>
        <v>Frankfurt, Frankfurt</v>
      </c>
      <c r="K147" t="str">
        <f>IFERROR(VLOOKUP($A147,'Consolidate List'!$A$2:$P$1048576,17,FALSE),"")</f>
        <v/>
      </c>
    </row>
    <row r="148" spans="1:11" x14ac:dyDescent="0.35">
      <c r="A148" t="str">
        <f>IFERROR(Tableau1[[#This Row],[ID Unique]],"")</f>
        <v>EQFRFR6GER6</v>
      </c>
      <c r="B148">
        <f>IFERROR(VLOOKUP($A148,'Consolidate List'!$A$2:$P$1048576,15,FALSE),"")</f>
        <v>8.5880429722030804</v>
      </c>
      <c r="C148" t="str">
        <f>IFERROR(VLOOKUP($A148,'Consolidate List'!$A$2:$P$1048576,16,FALSE),"")</f>
        <v>https://orange0.sharepoint.com/sites/OBDCProximityServicesFieldOperationsRules/SitePages/Equinix-DataCenters-in-Germany.aspx</v>
      </c>
      <c r="D148" t="str">
        <f>IFERROR(VLOOKUP($A148,'Consolidate List'!$A$2:$P$1048576,8,FALSE),"")</f>
        <v>not found on GINI</v>
      </c>
      <c r="F148" t="str">
        <f>IFERROR(VLOOKUP($A148,'Consolidate List'!$A$2:$P$1048576,12,FALSE),"")</f>
        <v>OUI</v>
      </c>
      <c r="G148" t="str">
        <f>IFERROR(VLOOKUP($A148,'Consolidate List'!$A$2:$P$1048576,11,FALSE),"")</f>
        <v>2 - Opportunistic</v>
      </c>
      <c r="H148" t="str">
        <f>IFERROR(VLOOKUP($A148,'Consolidate List'!$A$2:$P$1048576,9,FALSE),"")</f>
        <v>Larchenstrasse 110, Frankfurt, Germany, 65933</v>
      </c>
      <c r="I148" t="str">
        <f>IFERROR(VLOOKUP($A148,'Consolidate List'!$A$2:$P$1048576,10,FALSE),"")</f>
        <v>FR6</v>
      </c>
      <c r="J148" t="str">
        <f>IFERROR(_xlfn.CONCAT((VLOOKUP($A148,'Consolidate List'!$A$2:$P$1048576,5,FALSE)),", ",VLOOKUP($A148,'Consolidate List'!$A$2:$P$1048576,6,FALSE)),"")</f>
        <v>Frankfurt, Frankfurt</v>
      </c>
      <c r="K148" t="str">
        <f>IFERROR(VLOOKUP($A148,'Consolidate List'!$A$2:$P$1048576,17,FALSE),"")</f>
        <v/>
      </c>
    </row>
    <row r="149" spans="1:11" x14ac:dyDescent="0.35">
      <c r="A149" t="str">
        <f>IFERROR(Tableau1[[#This Row],[ID Unique]],"")</f>
        <v>EQFRFR7GER7</v>
      </c>
      <c r="B149">
        <f>IFERROR(VLOOKUP($A149,'Consolidate List'!$A$2:$P$1048576,15,FALSE),"")</f>
        <v>8.6440159827850902</v>
      </c>
      <c r="C149" t="str">
        <f>IFERROR(VLOOKUP($A149,'Consolidate List'!$A$2:$P$1048576,16,FALSE),"")</f>
        <v>https://orange0.sharepoint.com/sites/OBDCProximityServicesFieldOperationsRules/SitePages/Equinix-DataCenters-in-Germany.aspx</v>
      </c>
      <c r="D149" t="str">
        <f>IFERROR(VLOOKUP($A149,'Consolidate List'!$A$2:$P$1048576,8,FALSE),"")</f>
        <v>not found on GINI</v>
      </c>
      <c r="F149" t="str">
        <f>IFERROR(VLOOKUP($A149,'Consolidate List'!$A$2:$P$1048576,12,FALSE),"")</f>
        <v>OUI</v>
      </c>
      <c r="G149" t="str">
        <f>IFERROR(VLOOKUP($A149,'Consolidate List'!$A$2:$P$1048576,11,FALSE),"")</f>
        <v>2 - Opportunistic</v>
      </c>
      <c r="H149" t="str">
        <f>IFERROR(VLOOKUP($A149,'Consolidate List'!$A$2:$P$1048576,9,FALSE),"")</f>
        <v>Gutleutstraße 310, 60327 Frankfurt am Main, Germany</v>
      </c>
      <c r="I149" t="str">
        <f>IFERROR(VLOOKUP($A149,'Consolidate List'!$A$2:$P$1048576,10,FALSE),"")</f>
        <v>FR7</v>
      </c>
      <c r="J149" t="str">
        <f>IFERROR(_xlfn.CONCAT((VLOOKUP($A149,'Consolidate List'!$A$2:$P$1048576,5,FALSE)),", ",VLOOKUP($A149,'Consolidate List'!$A$2:$P$1048576,6,FALSE)),"")</f>
        <v>Frankfurt, Frankfurt</v>
      </c>
      <c r="K149" t="str">
        <f>IFERROR(VLOOKUP($A149,'Consolidate List'!$A$2:$P$1048576,17,FALSE),"")</f>
        <v/>
      </c>
    </row>
    <row r="150" spans="1:11" x14ac:dyDescent="0.35">
      <c r="A150" t="str">
        <f>IFERROR(Tableau1[[#This Row],[ID Unique]],"")</f>
        <v>EQMUMU3GEU3</v>
      </c>
      <c r="B150">
        <f>IFERROR(VLOOKUP($A150,'Consolidate List'!$A$2:$P$1048576,15,FALSE),"")</f>
        <v>11.5559480513792</v>
      </c>
      <c r="C150" t="str">
        <f>IFERROR(VLOOKUP($A150,'Consolidate List'!$A$2:$P$1048576,16,FALSE),"")</f>
        <v>https://orange0.sharepoint.com/sites/OBDCProximityServicesFieldOperationsRules/SitePages/Equinix-DataCenters-in-Germany.aspx</v>
      </c>
      <c r="D150" t="str">
        <f>IFERROR(VLOOKUP($A150,'Consolidate List'!$A$2:$P$1048576,8,FALSE),"")</f>
        <v>MUCC11</v>
      </c>
      <c r="F150" t="str">
        <f>IFERROR(VLOOKUP($A150,'Consolidate List'!$A$2:$P$1048576,12,FALSE),"")</f>
        <v>OUI</v>
      </c>
      <c r="G150" t="str">
        <f>IFERROR(VLOOKUP($A150,'Consolidate List'!$A$2:$P$1048576,11,FALSE),"")</f>
        <v>2 - Opportunistic</v>
      </c>
      <c r="H150" t="str">
        <f>IFERROR(VLOOKUP($A150,'Consolidate List'!$A$2:$P$1048576,9,FALSE),"")</f>
        <v>Seidlstraße 3, 80335 München, Germany</v>
      </c>
      <c r="I150" t="str">
        <f>IFERROR(VLOOKUP($A150,'Consolidate List'!$A$2:$P$1048576,10,FALSE),"")</f>
        <v>MU3</v>
      </c>
      <c r="J150" t="str">
        <f>IFERROR(_xlfn.CONCAT((VLOOKUP($A150,'Consolidate List'!$A$2:$P$1048576,5,FALSE)),", ",VLOOKUP($A150,'Consolidate List'!$A$2:$P$1048576,6,FALSE)),"")</f>
        <v>Munich, Munich</v>
      </c>
      <c r="K150" t="str">
        <f>IFERROR(VLOOKUP($A150,'Consolidate List'!$A$2:$P$1048576,17,FALSE),"")</f>
        <v/>
      </c>
    </row>
    <row r="151" spans="1:11" x14ac:dyDescent="0.35">
      <c r="A151" t="str">
        <f>IFERROR(Tableau1[[#This Row],[ID Unique]],"")</f>
        <v>EQMIML2ITL2</v>
      </c>
      <c r="B151">
        <f>IFERROR(VLOOKUP($A151,'Consolidate List'!$A$2:$P$1048576,15,FALSE),"")</f>
        <v>9.1472278532095199</v>
      </c>
      <c r="C151" t="str">
        <f>IFERROR(VLOOKUP($A151,'Consolidate List'!$A$2:$P$1048576,16,FALSE),"")</f>
        <v>https://plazza.orange.com/docs/DOC-2346785</v>
      </c>
      <c r="D151" t="str">
        <f>IFERROR(VLOOKUP($A151,'Consolidate List'!$A$2:$P$1048576,8,FALSE),"")</f>
        <v>not found on GINI</v>
      </c>
      <c r="F151" t="str">
        <f>IFERROR(VLOOKUP($A151,'Consolidate List'!$A$2:$P$1048576,12,FALSE),"")</f>
        <v>OUI</v>
      </c>
      <c r="G151" t="str">
        <f>IFERROR(VLOOKUP($A151,'Consolidate List'!$A$2:$P$1048576,11,FALSE),"")</f>
        <v>2 - Opportunistic</v>
      </c>
      <c r="H151" t="str">
        <f>IFERROR(VLOOKUP($A151,'Consolidate List'!$A$2:$P$1048576,9,FALSE),"")</f>
        <v>Via Savona, 125, 20144 Milano MI, Italy</v>
      </c>
      <c r="I151" t="str">
        <f>IFERROR(VLOOKUP($A151,'Consolidate List'!$A$2:$P$1048576,10,FALSE),"")</f>
        <v>ML2</v>
      </c>
      <c r="J151" t="str">
        <f>IFERROR(_xlfn.CONCAT((VLOOKUP($A151,'Consolidate List'!$A$2:$P$1048576,5,FALSE)),", ",VLOOKUP($A151,'Consolidate List'!$A$2:$P$1048576,6,FALSE)),"")</f>
        <v>Milan, Milan</v>
      </c>
      <c r="K151" t="str">
        <f>IFERROR(VLOOKUP($A151,'Consolidate List'!$A$2:$P$1048576,17,FALSE),"")</f>
        <v/>
      </c>
    </row>
    <row r="152" spans="1:11" x14ac:dyDescent="0.35">
      <c r="A152" t="str">
        <f>IFERROR(Tableau1[[#This Row],[ID Unique]],"")</f>
        <v>EQAMAM3NEM3</v>
      </c>
      <c r="B152" t="str">
        <f>IFERROR(VLOOKUP($A152,'Consolidate List'!$A$2:$P$1048576,15,FALSE),"")</f>
        <v>4.960960099999999</v>
      </c>
      <c r="C152" t="str">
        <f>IFERROR(VLOOKUP($A152,'Consolidate List'!$A$2:$P$1048576,16,FALSE),"")</f>
        <v>https://orange0.sharepoint.com/sites/OBDCProximityServicesFieldOperationsRules/SitePages/Equinix-DataCenters-in-Netherlands.aspx</v>
      </c>
      <c r="D152" t="str">
        <f>IFERROR(VLOOKUP($A152,'Consolidate List'!$A$2:$P$1048576,8,FALSE),"")</f>
        <v>AMST02</v>
      </c>
      <c r="F152" t="str">
        <f>IFERROR(VLOOKUP($A152,'Consolidate List'!$A$2:$P$1048576,12,FALSE),"")</f>
        <v>OUI</v>
      </c>
      <c r="G152" t="str">
        <f>IFERROR(VLOOKUP($A152,'Consolidate List'!$A$2:$P$1048576,11,FALSE),"")</f>
        <v>2 - Opportunistic</v>
      </c>
      <c r="H152" t="str">
        <f>IFERROR(VLOOKUP($A152,'Consolidate List'!$A$2:$P$1048576,9,FALSE),"")</f>
        <v>Science Park 610, 1098 XH Amsterdam, Pays-Bas</v>
      </c>
      <c r="I152" t="str">
        <f>IFERROR(VLOOKUP($A152,'Consolidate List'!$A$2:$P$1048576,10,FALSE),"")</f>
        <v>AM3</v>
      </c>
      <c r="J152" t="str">
        <f>IFERROR(_xlfn.CONCAT((VLOOKUP($A152,'Consolidate List'!$A$2:$P$1048576,5,FALSE)),", ",VLOOKUP($A152,'Consolidate List'!$A$2:$P$1048576,6,FALSE)),"")</f>
        <v>Amsterdam, Amsterdam</v>
      </c>
      <c r="K152" t="str">
        <f>IFERROR(VLOOKUP($A152,'Consolidate List'!$A$2:$P$1048576,17,FALSE),"")</f>
        <v/>
      </c>
    </row>
    <row r="153" spans="1:11" x14ac:dyDescent="0.35">
      <c r="A153" t="str">
        <f>IFERROR(Tableau1[[#This Row],[ID Unique]],"")</f>
        <v>EQAMAM4NEM4</v>
      </c>
      <c r="B153" t="str">
        <f>IFERROR(VLOOKUP($A153,'Consolidate List'!$A$2:$P$1048576,15,FALSE),"")</f>
        <v>4.960960099999999</v>
      </c>
      <c r="C153" t="str">
        <f>IFERROR(VLOOKUP($A153,'Consolidate List'!$A$2:$P$1048576,16,FALSE),"")</f>
        <v>https://orange0.sharepoint.com/sites/OBDCProximityServicesFieldOperationsRules/SitePages/Equinix-DataCenters-in-Netherlands.aspx</v>
      </c>
      <c r="D153" t="str">
        <f>IFERROR(VLOOKUP($A153,'Consolidate List'!$A$2:$P$1048576,8,FALSE),"")</f>
        <v>not found on GINI</v>
      </c>
      <c r="F153" t="str">
        <f>IFERROR(VLOOKUP($A153,'Consolidate List'!$A$2:$P$1048576,12,FALSE),"")</f>
        <v>OUI</v>
      </c>
      <c r="G153" t="str">
        <f>IFERROR(VLOOKUP($A153,'Consolidate List'!$A$2:$P$1048576,11,FALSE),"")</f>
        <v>2 - Opportunistic</v>
      </c>
      <c r="H153" t="str">
        <f>IFERROR(VLOOKUP($A153,'Consolidate List'!$A$2:$P$1048576,9,FALSE),"")</f>
        <v>Science Park 610, 1098 XH Amsterdam, Pays-Bas</v>
      </c>
      <c r="I153" t="str">
        <f>IFERROR(VLOOKUP($A153,'Consolidate List'!$A$2:$P$1048576,10,FALSE),"")</f>
        <v>AM4</v>
      </c>
      <c r="J153" t="str">
        <f>IFERROR(_xlfn.CONCAT((VLOOKUP($A153,'Consolidate List'!$A$2:$P$1048576,5,FALSE)),", ",VLOOKUP($A153,'Consolidate List'!$A$2:$P$1048576,6,FALSE)),"")</f>
        <v>Amsterdam, Amsterdam</v>
      </c>
      <c r="K153" t="str">
        <f>IFERROR(VLOOKUP($A153,'Consolidate List'!$A$2:$P$1048576,17,FALSE),"")</f>
        <v/>
      </c>
    </row>
    <row r="154" spans="1:11" x14ac:dyDescent="0.35">
      <c r="A154" t="str">
        <f>IFERROR(Tableau1[[#This Row],[ID Unique]],"")</f>
        <v>EQAMAM5NEM5</v>
      </c>
      <c r="B154" t="str">
        <f>IFERROR(VLOOKUP($A154,'Consolidate List'!$A$2:$P$1048576,15,FALSE),"")</f>
        <v>4.9450536</v>
      </c>
      <c r="C154" t="str">
        <f>IFERROR(VLOOKUP($A154,'Consolidate List'!$A$2:$P$1048576,16,FALSE),"")</f>
        <v>https://orange0.sharepoint.com/sites/OBDCProximityServicesFieldOperationsRules/SitePages/Equinix-DataCenters-in-Netherlands.aspx</v>
      </c>
      <c r="D154" t="str">
        <f>IFERROR(VLOOKUP($A154,'Consolidate List'!$A$2:$P$1048576,8,FALSE),"")</f>
        <v>AMSC17</v>
      </c>
      <c r="F154" t="str">
        <f>IFERROR(VLOOKUP($A154,'Consolidate List'!$A$2:$P$1048576,12,FALSE),"")</f>
        <v>OUI</v>
      </c>
      <c r="G154" t="str">
        <f>IFERROR(VLOOKUP($A154,'Consolidate List'!$A$2:$P$1048576,11,FALSE),"")</f>
        <v>2 - Opportunistic</v>
      </c>
      <c r="H154" t="str">
        <f>IFERROR(VLOOKUP($A154,'Consolidate List'!$A$2:$P$1048576,9,FALSE),"")</f>
        <v>Schepenbergweg 42, 1105 AT Amsterdam, Pays-Bas</v>
      </c>
      <c r="I154" t="str">
        <f>IFERROR(VLOOKUP($A154,'Consolidate List'!$A$2:$P$1048576,10,FALSE),"")</f>
        <v>AM5</v>
      </c>
      <c r="J154" t="str">
        <f>IFERROR(_xlfn.CONCAT((VLOOKUP($A154,'Consolidate List'!$A$2:$P$1048576,5,FALSE)),", ",VLOOKUP($A154,'Consolidate List'!$A$2:$P$1048576,6,FALSE)),"")</f>
        <v>Amsterdam, Amsterdam</v>
      </c>
      <c r="K154" t="str">
        <f>IFERROR(VLOOKUP($A154,'Consolidate List'!$A$2:$P$1048576,17,FALSE),"")</f>
        <v/>
      </c>
    </row>
    <row r="155" spans="1:11" x14ac:dyDescent="0.35">
      <c r="A155" t="str">
        <f>IFERROR(Tableau1[[#This Row],[ID Unique]],"")</f>
        <v>EQAMAM6NEM6</v>
      </c>
      <c r="B155" t="str">
        <f>IFERROR(VLOOKUP($A155,'Consolidate List'!$A$2:$P$1048576,15,FALSE),"")</f>
        <v>4.9330682</v>
      </c>
      <c r="C155" t="str">
        <f>IFERROR(VLOOKUP($A155,'Consolidate List'!$A$2:$P$1048576,16,FALSE),"")</f>
        <v>https://orange0.sharepoint.com/sites/OBDCProximityServicesFieldOperationsRules/SitePages/Equinix-DataCenters-in-Netherlands.aspx</v>
      </c>
      <c r="D155" t="str">
        <f>IFERROR(VLOOKUP($A155,'Consolidate List'!$A$2:$P$1048576,8,FALSE),"")</f>
        <v>not found on GINI</v>
      </c>
      <c r="F155" t="str">
        <f>IFERROR(VLOOKUP($A155,'Consolidate List'!$A$2:$P$1048576,12,FALSE),"")</f>
        <v>OUI</v>
      </c>
      <c r="G155" t="str">
        <f>IFERROR(VLOOKUP($A155,'Consolidate List'!$A$2:$P$1048576,11,FALSE),"")</f>
        <v>1 - Major</v>
      </c>
      <c r="H155" t="str">
        <f>IFERROR(VLOOKUP($A155,'Consolidate List'!$A$2:$P$1048576,9,FALSE),"")</f>
        <v>Duivendrechtsekade 80A, 1096 AH Amsterdam, Pays-Bas</v>
      </c>
      <c r="I155" t="str">
        <f>IFERROR(VLOOKUP($A155,'Consolidate List'!$A$2:$P$1048576,10,FALSE),"")</f>
        <v>AM6</v>
      </c>
      <c r="J155" t="str">
        <f>IFERROR(_xlfn.CONCAT((VLOOKUP($A155,'Consolidate List'!$A$2:$P$1048576,5,FALSE)),", ",VLOOKUP($A155,'Consolidate List'!$A$2:$P$1048576,6,FALSE)),"")</f>
        <v>Amsterdam, Amsterdam</v>
      </c>
      <c r="K155" t="str">
        <f>IFERROR(VLOOKUP($A155,'Consolidate List'!$A$2:$P$1048576,17,FALSE),"")</f>
        <v/>
      </c>
    </row>
    <row r="156" spans="1:11" x14ac:dyDescent="0.35">
      <c r="A156" t="str">
        <f>IFERROR(Tableau1[[#This Row],[ID Unique]],"")</f>
        <v>EQAMAMSXNE01</v>
      </c>
      <c r="B156" t="str">
        <f>IFERROR(VLOOKUP($A156,'Consolidate List'!$A$2:$P$1048576,15,FALSE),"")</f>
        <v>4.7668214</v>
      </c>
      <c r="C156" t="str">
        <f>IFERROR(VLOOKUP($A156,'Consolidate List'!$A$2:$P$1048576,16,FALSE),"")</f>
        <v>https://orange0.sharepoint.com/sites/OBDCProximityServicesFieldOperationsRules/SitePages/OB-(Equant)-DataCenters-in-Netherlands.aspx</v>
      </c>
      <c r="D156" t="str">
        <f>IFERROR(VLOOKUP($A156,'Consolidate List'!$A$2:$P$1048576,8,FALSE),"")</f>
        <v>AMSX01</v>
      </c>
      <c r="F156" t="str">
        <f>IFERROR(VLOOKUP($A156,'Consolidate List'!$A$2:$P$1048576,12,FALSE),"")</f>
        <v>OUI</v>
      </c>
      <c r="G156" t="str">
        <f>IFERROR(VLOOKUP($A156,'Consolidate List'!$A$2:$P$1048576,11,FALSE),"")</f>
        <v>1 - Major</v>
      </c>
      <c r="H156" t="str">
        <f>IFERROR(VLOOKUP($A156,'Consolidate List'!$A$2:$P$1048576,9,FALSE),"")</f>
        <v>Triphony Building, Cessnalaan 71 . Schiphol-Rijk</v>
      </c>
      <c r="I156" t="str">
        <f>IFERROR(VLOOKUP($A156,'Consolidate List'!$A$2:$P$1048576,10,FALSE),"")</f>
        <v>AMSX01</v>
      </c>
      <c r="J156" t="str">
        <f>IFERROR(_xlfn.CONCAT((VLOOKUP($A156,'Consolidate List'!$A$2:$P$1048576,5,FALSE)),", ",VLOOKUP($A156,'Consolidate List'!$A$2:$P$1048576,6,FALSE)),"")</f>
        <v>Amsterdam, Amsterdam</v>
      </c>
      <c r="K156" t="str">
        <f>IFERROR(VLOOKUP($A156,'Consolidate List'!$A$2:$P$1048576,17,FALSE),"")</f>
        <v/>
      </c>
    </row>
    <row r="157" spans="1:11" x14ac:dyDescent="0.35">
      <c r="A157" t="str">
        <f>IFERROR(Tableau1[[#This Row],[ID Unique]],"")</f>
        <v>IXMOIXCERUDC</v>
      </c>
      <c r="B157" t="str">
        <f>IFERROR(VLOOKUP($A157,'Consolidate List'!$A$2:$P$1048576,15,FALSE),"")</f>
        <v>37.5771763</v>
      </c>
      <c r="C157" t="str">
        <f>IFERROR(VLOOKUP($A157,'Consolidate List'!$A$2:$P$1048576,16,FALSE),"")</f>
        <v>https://orange0.sharepoint.com/sites/OBDCProximityServicesFieldOperationsRules/SitePages/IXcellerate-DataCenters-in-Russia.aspx</v>
      </c>
      <c r="D157" t="str">
        <f>IFERROR(VLOOKUP($A157,'Consolidate List'!$A$2:$P$1048576,8,FALSE),"")</f>
        <v>to be determined with GINI</v>
      </c>
      <c r="F157" t="str">
        <f>IFERROR(VLOOKUP($A157,'Consolidate List'!$A$2:$P$1048576,12,FALSE),"")</f>
        <v>OUI</v>
      </c>
      <c r="G157" t="str">
        <f>IFERROR(VLOOKUP($A157,'Consolidate List'!$A$2:$P$1048576,11,FALSE),"")</f>
        <v>2 - Opportunistic</v>
      </c>
      <c r="H157" t="str">
        <f>IFERROR(VLOOKUP($A157,'Consolidate List'!$A$2:$P$1048576,9,FALSE),"")</f>
        <v>Altuf'yevskoye Shosse, 33Г, Moscow, Russie, 127410</v>
      </c>
      <c r="I157" t="str">
        <f>IFERROR(VLOOKUP($A157,'Consolidate List'!$A$2:$P$1048576,10,FALSE),"")</f>
        <v>Ixcellerate DC</v>
      </c>
      <c r="J157" t="str">
        <f>IFERROR(_xlfn.CONCAT((VLOOKUP($A157,'Consolidate List'!$A$2:$P$1048576,5,FALSE)),", ",VLOOKUP($A157,'Consolidate List'!$A$2:$P$1048576,6,FALSE)),"")</f>
        <v>Moscow, Moscow</v>
      </c>
      <c r="K157" t="str">
        <f>IFERROR(VLOOKUP($A157,'Consolidate List'!$A$2:$P$1048576,17,FALSE),"")</f>
        <v/>
      </c>
    </row>
    <row r="158" spans="1:11" x14ac:dyDescent="0.35">
      <c r="A158" t="str">
        <f>IFERROR(Tableau1[[#This Row],[ID Unique]],"")</f>
        <v>EQSENY4UNY4</v>
      </c>
      <c r="B158" t="str">
        <f>IFERROR(VLOOKUP($A158,'Consolidate List'!$A$2:$P$1048576,15,FALSE),"")</f>
        <v>-74.06985089999999</v>
      </c>
      <c r="C158">
        <f>IFERROR(VLOOKUP($A158,'Consolidate List'!$A$2:$P$1048576,16,FALSE),"")</f>
        <v>0</v>
      </c>
      <c r="D158" t="str">
        <f>IFERROR(VLOOKUP($A158,'Consolidate List'!$A$2:$P$1048576,8,FALSE),"")</f>
        <v>to be determined with GINI</v>
      </c>
      <c r="F158" t="str">
        <f>IFERROR(VLOOKUP($A158,'Consolidate List'!$A$2:$P$1048576,12,FALSE),"")</f>
        <v>NON</v>
      </c>
      <c r="G158" t="str">
        <f>IFERROR(VLOOKUP($A158,'Consolidate List'!$A$2:$P$1048576,11,FALSE),"")</f>
        <v>5 - Closed</v>
      </c>
      <c r="H158" t="str">
        <f>IFERROR(VLOOKUP($A158,'Consolidate List'!$A$2:$P$1048576,9,FALSE),"")</f>
        <v>755 Secaucus Road, Secaucus, NJ 07094</v>
      </c>
      <c r="I158" t="str">
        <f>IFERROR(VLOOKUP($A158,'Consolidate List'!$A$2:$P$1048576,10,FALSE),"")</f>
        <v>NY4</v>
      </c>
      <c r="J158" t="str">
        <f>IFERROR(_xlfn.CONCAT((VLOOKUP($A158,'Consolidate List'!$A$2:$P$1048576,5,FALSE)),", ",VLOOKUP($A158,'Consolidate List'!$A$2:$P$1048576,6,FALSE)),"")</f>
        <v>New Jersey, Secaucus</v>
      </c>
      <c r="K158" t="str">
        <f>IFERROR(VLOOKUP($A158,'Consolidate List'!$A$2:$P$1048576,17,FALSE),"")</f>
        <v/>
      </c>
    </row>
    <row r="159" spans="1:11" x14ac:dyDescent="0.35">
      <c r="A159" t="str">
        <f>IFERROR(Tableau1[[#This Row],[ID Unique]],"")</f>
        <v>EQDUDX1UAX1</v>
      </c>
      <c r="B159" t="str">
        <f>IFERROR(VLOOKUP($A159,'Consolidate List'!$A$2:$P$1048576,15,FALSE),"")</f>
        <v>55.1837424</v>
      </c>
      <c r="C159" t="str">
        <f>IFERROR(VLOOKUP($A159,'Consolidate List'!$A$2:$P$1048576,16,FALSE),"")</f>
        <v>https://orange0.sharepoint.com/sites/OBDCProximityServicesFieldOperationsRules/SitePages/Equinix-DataCenters-in-UAE.aspx</v>
      </c>
      <c r="D159" t="str">
        <f>IFERROR(VLOOKUP($A159,'Consolidate List'!$A$2:$P$1048576,8,FALSE),"")</f>
        <v>to be determined with GINI</v>
      </c>
      <c r="F159" t="str">
        <f>IFERROR(VLOOKUP($A159,'Consolidate List'!$A$2:$P$1048576,12,FALSE),"")</f>
        <v>OUI</v>
      </c>
      <c r="G159" t="str">
        <f>IFERROR(VLOOKUP($A159,'Consolidate List'!$A$2:$P$1048576,11,FALSE),"")</f>
        <v>2 - Opportunistic</v>
      </c>
      <c r="H159" t="str">
        <f>IFERROR(VLOOKUP($A159,'Consolidate List'!$A$2:$P$1048576,9,FALSE),"")</f>
        <v>International Media Production Zone (IMPZ), Units F90, F91 &amp; F92, Sheikh Mohamed Bin Zayed Road, Dubai, AE, 500389</v>
      </c>
      <c r="I159" t="str">
        <f>IFERROR(VLOOKUP($A159,'Consolidate List'!$A$2:$P$1048576,10,FALSE),"")</f>
        <v>DX1</v>
      </c>
      <c r="J159" t="str">
        <f>IFERROR(_xlfn.CONCAT((VLOOKUP($A159,'Consolidate List'!$A$2:$P$1048576,5,FALSE)),", ",VLOOKUP($A159,'Consolidate List'!$A$2:$P$1048576,6,FALSE)),"")</f>
        <v>Dubai, Dubai</v>
      </c>
      <c r="K159" t="str">
        <f>IFERROR(VLOOKUP($A159,'Consolidate List'!$A$2:$P$1048576,17,FALSE),"")</f>
        <v/>
      </c>
    </row>
    <row r="160" spans="1:11" x14ac:dyDescent="0.35">
      <c r="A160" t="str">
        <f>IFERROR(Tableau1[[#This Row],[ID Unique]],"")</f>
        <v>EQSLLD5UND5</v>
      </c>
      <c r="B160" t="str">
        <f>IFERROR(VLOOKUP($A160,'Consolidate List'!$A$2:$P$1048576,15,FALSE),"")</f>
        <v>-0.6290175</v>
      </c>
      <c r="C160" t="str">
        <f>IFERROR(VLOOKUP($A160,'Consolidate List'!$A$2:$P$1048576,16,FALSE),"")</f>
        <v>https://orange0.sharepoint.com/sites/OBDCProximityServicesFieldOperationsRules/SitePages/Equinix-DataCenters-in-United-Kingdom.aspx</v>
      </c>
      <c r="D160" t="str">
        <f>IFERROR(VLOOKUP($A160,'Consolidate List'!$A$2:$P$1048576,8,FALSE),"")</f>
        <v>to be determined with GINI</v>
      </c>
      <c r="F160" t="str">
        <f>IFERROR(VLOOKUP($A160,'Consolidate List'!$A$2:$P$1048576,12,FALSE),"")</f>
        <v>OUI</v>
      </c>
      <c r="G160" t="str">
        <f>IFERROR(VLOOKUP($A160,'Consolidate List'!$A$2:$P$1048576,11,FALSE),"")</f>
        <v>2 - Opportunistic</v>
      </c>
      <c r="H160" t="str">
        <f>IFERROR(VLOOKUP($A160,'Consolidate List'!$A$2:$P$1048576,9,FALSE),"")</f>
        <v xml:space="preserve">8 Buckingham Avenue , Slough Trading Estate – Slough  Berkshire SL1 4AX </v>
      </c>
      <c r="I160" t="str">
        <f>IFERROR(VLOOKUP($A160,'Consolidate List'!$A$2:$P$1048576,10,FALSE),"")</f>
        <v>LD5</v>
      </c>
      <c r="J160" t="str">
        <f>IFERROR(_xlfn.CONCAT((VLOOKUP($A160,'Consolidate List'!$A$2:$P$1048576,5,FALSE)),", ",VLOOKUP($A160,'Consolidate List'!$A$2:$P$1048576,6,FALSE)),"")</f>
        <v>London, Slough</v>
      </c>
      <c r="K160" t="str">
        <f>IFERROR(VLOOKUP($A160,'Consolidate List'!$A$2:$P$1048576,17,FALSE),"")</f>
        <v/>
      </c>
    </row>
    <row r="161" spans="1:11" x14ac:dyDescent="0.35">
      <c r="A161" t="str">
        <f>IFERROR(Tableau1[[#This Row],[ID Unique]],"")</f>
        <v>EQSLLD6UND6</v>
      </c>
      <c r="B161" t="str">
        <f>IFERROR(VLOOKUP($A161,'Consolidate List'!$A$2:$P$1048576,15,FALSE),"")</f>
        <v>-0.6349477</v>
      </c>
      <c r="C161" t="str">
        <f>IFERROR(VLOOKUP($A161,'Consolidate List'!$A$2:$P$1048576,16,FALSE),"")</f>
        <v>https://orange0.sharepoint.com/sites/OBDCProximityServicesFieldOperationsRules/SitePages/Equinix-DataCenters-in-United-Kingdom.aspx</v>
      </c>
      <c r="D161" t="str">
        <f>IFERROR(VLOOKUP($A161,'Consolidate List'!$A$2:$P$1048576,8,FALSE),"")</f>
        <v>to be determined with GINI</v>
      </c>
      <c r="F161" t="str">
        <f>IFERROR(VLOOKUP($A161,'Consolidate List'!$A$2:$P$1048576,12,FALSE),"")</f>
        <v>OUI</v>
      </c>
      <c r="G161" t="str">
        <f>IFERROR(VLOOKUP($A161,'Consolidate List'!$A$2:$P$1048576,11,FALSE),"")</f>
        <v>2 - Opportunistic</v>
      </c>
      <c r="H161" t="str">
        <f>IFERROR(VLOOKUP($A161,'Consolidate List'!$A$2:$P$1048576,9,FALSE),"")</f>
        <v>352 Buckingham Ave, Slough SL1 4NL</v>
      </c>
      <c r="I161" t="str">
        <f>IFERROR(VLOOKUP($A161,'Consolidate List'!$A$2:$P$1048576,10,FALSE),"")</f>
        <v>LD6</v>
      </c>
      <c r="J161" t="str">
        <f>IFERROR(_xlfn.CONCAT((VLOOKUP($A161,'Consolidate List'!$A$2:$P$1048576,5,FALSE)),", ",VLOOKUP($A161,'Consolidate List'!$A$2:$P$1048576,6,FALSE)),"")</f>
        <v>London, Slough</v>
      </c>
      <c r="K161" t="str">
        <f>IFERROR(VLOOKUP($A161,'Consolidate List'!$A$2:$P$1048576,17,FALSE),"")</f>
        <v/>
      </c>
    </row>
    <row r="162" spans="1:11" x14ac:dyDescent="0.35">
      <c r="A162" t="str">
        <f>IFERROR(Tableau1[[#This Row],[ID Unique]],"")</f>
        <v>EQSLLD7UND7</v>
      </c>
      <c r="B162" t="str">
        <f>IFERROR(VLOOKUP($A162,'Consolidate List'!$A$2:$P$1048576,15,FALSE),"")</f>
        <v>-0.6357767999999999</v>
      </c>
      <c r="C162" t="str">
        <f>IFERROR(VLOOKUP($A162,'Consolidate List'!$A$2:$P$1048576,16,FALSE),"")</f>
        <v>https://orange0.sharepoint.com/sites/OBDCProximityServicesFieldOperationsRules/SitePages/Equinix-DataCenters-in-United-Kingdom.aspx</v>
      </c>
      <c r="D162" t="str">
        <f>IFERROR(VLOOKUP($A162,'Consolidate List'!$A$2:$P$1048576,8,FALSE),"")</f>
        <v>to be determined with GINI</v>
      </c>
      <c r="F162" t="str">
        <f>IFERROR(VLOOKUP($A162,'Consolidate List'!$A$2:$P$1048576,12,FALSE),"")</f>
        <v>OUI</v>
      </c>
      <c r="G162" t="str">
        <f>IFERROR(VLOOKUP($A162,'Consolidate List'!$A$2:$P$1048576,11,FALSE),"")</f>
        <v>2 - Opportunistic</v>
      </c>
      <c r="H162" t="str">
        <f>IFERROR(VLOOKUP($A162,'Consolidate List'!$A$2:$P$1048576,9,FALSE),"")</f>
        <v>1 Banbury Ave, Slough SL1 4LH, Royaume-Uni</v>
      </c>
      <c r="I162" t="str">
        <f>IFERROR(VLOOKUP($A162,'Consolidate List'!$A$2:$P$1048576,10,FALSE),"")</f>
        <v>LD7</v>
      </c>
      <c r="J162" t="str">
        <f>IFERROR(_xlfn.CONCAT((VLOOKUP($A162,'Consolidate List'!$A$2:$P$1048576,5,FALSE)),", ",VLOOKUP($A162,'Consolidate List'!$A$2:$P$1048576,6,FALSE)),"")</f>
        <v>London, Slough</v>
      </c>
      <c r="K162" t="str">
        <f>IFERROR(VLOOKUP($A162,'Consolidate List'!$A$2:$P$1048576,17,FALSE),"")</f>
        <v/>
      </c>
    </row>
    <row r="163" spans="1:11" x14ac:dyDescent="0.35">
      <c r="A163" t="str">
        <f>IFERROR(Tableau1[[#This Row],[ID Unique]],"")</f>
        <v>EQLOLD8UND8</v>
      </c>
      <c r="B163" t="str">
        <f>IFERROR(VLOOKUP($A163,'Consolidate List'!$A$2:$P$1048576,15,FALSE),"")</f>
        <v>-0.0142533</v>
      </c>
      <c r="C163" t="str">
        <f>IFERROR(VLOOKUP($A163,'Consolidate List'!$A$2:$P$1048576,16,FALSE),"")</f>
        <v>https://orange0.sharepoint.com/sites/OBDCProximityServicesFieldOperationsRules/SitePages/Equinix-DataCenters-in-United-Kingdom.aspx</v>
      </c>
      <c r="D163" t="str">
        <f>IFERROR(VLOOKUP($A163,'Consolidate List'!$A$2:$P$1048576,8,FALSE),"")</f>
        <v>to be determined with GINI</v>
      </c>
      <c r="F163" t="str">
        <f>IFERROR(VLOOKUP($A163,'Consolidate List'!$A$2:$P$1048576,12,FALSE),"")</f>
        <v>OUI</v>
      </c>
      <c r="G163" t="str">
        <f>IFERROR(VLOOKUP($A163,'Consolidate List'!$A$2:$P$1048576,11,FALSE),"")</f>
        <v>2 - Opportunistic</v>
      </c>
      <c r="H163" t="str">
        <f>IFERROR(VLOOKUP($A163,'Consolidate List'!$A$2:$P$1048576,9,FALSE),"")</f>
        <v>6-7 Harbour Exchange Square, London E14 9GE, Royaume-Uni</v>
      </c>
      <c r="I163" t="str">
        <f>IFERROR(VLOOKUP($A163,'Consolidate List'!$A$2:$P$1048576,10,FALSE),"")</f>
        <v>LD8</v>
      </c>
      <c r="J163" t="str">
        <f>IFERROR(_xlfn.CONCAT((VLOOKUP($A163,'Consolidate List'!$A$2:$P$1048576,5,FALSE)),", ",VLOOKUP($A163,'Consolidate List'!$A$2:$P$1048576,6,FALSE)),"")</f>
        <v>London, London</v>
      </c>
      <c r="K163" t="str">
        <f>IFERROR(VLOOKUP($A163,'Consolidate List'!$A$2:$P$1048576,17,FALSE),"")</f>
        <v/>
      </c>
    </row>
    <row r="164" spans="1:11" x14ac:dyDescent="0.35">
      <c r="A164" t="str">
        <f>IFERROR(Tableau1[[#This Row],[ID Unique]],"")</f>
        <v>EQLOLD9UND9</v>
      </c>
      <c r="B164" t="str">
        <f>IFERROR(VLOOKUP($A164,'Consolidate List'!$A$2:$P$1048576,15,FALSE),"")</f>
        <v>-0.2573596</v>
      </c>
      <c r="C164" t="str">
        <f>IFERROR(VLOOKUP($A164,'Consolidate List'!$A$2:$P$1048576,16,FALSE),"")</f>
        <v>https://orange0.sharepoint.com/sites/OBDCProximityServicesFieldOperationsRules/SitePages/Equinix-DataCenters-in-United-Kingdom.aspx</v>
      </c>
      <c r="D164" t="str">
        <f>IFERROR(VLOOKUP($A164,'Consolidate List'!$A$2:$P$1048576,8,FALSE),"")</f>
        <v>to be determined with GINI</v>
      </c>
      <c r="F164" t="str">
        <f>IFERROR(VLOOKUP($A164,'Consolidate List'!$A$2:$P$1048576,12,FALSE),"")</f>
        <v>OUI</v>
      </c>
      <c r="G164" t="str">
        <f>IFERROR(VLOOKUP($A164,'Consolidate List'!$A$2:$P$1048576,11,FALSE),"")</f>
        <v>2 - Opportunistic</v>
      </c>
      <c r="H164" t="str">
        <f>IFERROR(VLOOKUP($A164,'Consolidate List'!$A$2:$P$1048576,9,FALSE),"")</f>
        <v>Unit 1, Powergate Business Park, Volt Avenue, London NW10 6PW</v>
      </c>
      <c r="I164" t="str">
        <f>IFERROR(VLOOKUP($A164,'Consolidate List'!$A$2:$P$1048576,10,FALSE),"")</f>
        <v>LD9</v>
      </c>
      <c r="J164" t="str">
        <f>IFERROR(_xlfn.CONCAT((VLOOKUP($A164,'Consolidate List'!$A$2:$P$1048576,5,FALSE)),", ",VLOOKUP($A164,'Consolidate List'!$A$2:$P$1048576,6,FALSE)),"")</f>
        <v>London, London</v>
      </c>
      <c r="K164" t="str">
        <f>IFERROR(VLOOKUP($A164,'Consolidate List'!$A$2:$P$1048576,17,FALSE),"")</f>
        <v/>
      </c>
    </row>
    <row r="165" spans="1:11" x14ac:dyDescent="0.35">
      <c r="A165" t="str">
        <f>IFERROR(Tableau1[[#This Row],[ID Unique]],"")</f>
        <v>INMAMAD1SPD1</v>
      </c>
      <c r="B165" t="str">
        <f>IFERROR(VLOOKUP($A165,'Consolidate List'!$A$2:$P$1048576,15,FALSE),"")</f>
        <v>-3.6213845</v>
      </c>
      <c r="C165" t="str">
        <f>IFERROR(VLOOKUP($A165,'Consolidate List'!$A$2:$P$1048576,16,FALSE),"")</f>
        <v>https://orange0.sharepoint.com/sites/OBDCProximityServicesFieldOperationsRules/SitePages/Digital-Realty-DataCenters-in-Spain.aspx</v>
      </c>
      <c r="D165" t="str">
        <f>IFERROR(VLOOKUP($A165,'Consolidate List'!$A$2:$P$1048576,8,FALSE),"")</f>
        <v>MADF12</v>
      </c>
      <c r="F165" t="str">
        <f>IFERROR(VLOOKUP($A165,'Consolidate List'!$A$2:$P$1048576,12,FALSE),"")</f>
        <v>OUI</v>
      </c>
      <c r="G165" t="str">
        <f>IFERROR(VLOOKUP($A165,'Consolidate List'!$A$2:$P$1048576,11,FALSE),"")</f>
        <v>2 - Opportunistic</v>
      </c>
      <c r="H165" t="str">
        <f>IFERROR(VLOOKUP($A165,'Consolidate List'!$A$2:$P$1048576,9,FALSE),"")</f>
        <v>Calle Albasanz 71, Madrid, 28037, Spain</v>
      </c>
      <c r="I165" t="str">
        <f>IFERROR(VLOOKUP($A165,'Consolidate List'!$A$2:$P$1048576,10,FALSE),"")</f>
        <v>MAD1</v>
      </c>
      <c r="J165" t="str">
        <f>IFERROR(_xlfn.CONCAT((VLOOKUP($A165,'Consolidate List'!$A$2:$P$1048576,5,FALSE)),", ",VLOOKUP($A165,'Consolidate List'!$A$2:$P$1048576,6,FALSE)),"")</f>
        <v>Madrid, Madrid</v>
      </c>
      <c r="K165" t="str">
        <f>IFERROR(VLOOKUP($A165,'Consolidate List'!$A$2:$P$1048576,17,FALSE),"")</f>
        <v/>
      </c>
    </row>
    <row r="166" spans="1:11" x14ac:dyDescent="0.35">
      <c r="A166" t="str">
        <f>IFERROR(Tableau1[[#This Row],[ID Unique]],"")</f>
        <v>ORLOORANPODZ</v>
      </c>
      <c r="B166" t="str">
        <f>IFERROR(VLOOKUP($A166,'Consolidate List'!$A$2:$P$1048576,15,FALSE),"")</f>
        <v>19.5063216</v>
      </c>
      <c r="C166" t="str">
        <f>IFERROR(VLOOKUP($A166,'Consolidate List'!$A$2:$P$1048576,16,FALSE),"")</f>
        <v>https://orange0.sharepoint.com/sites/OBDCProximityServicesFieldOperationsRules/SitePages/OB-DataCenters-in-Poland.aspx</v>
      </c>
      <c r="D166" t="str">
        <f>IFERROR(VLOOKUP($A166,'Consolidate List'!$A$2:$P$1048576,8,FALSE),"")</f>
        <v>LCJT01</v>
      </c>
      <c r="F166" t="str">
        <f>IFERROR(VLOOKUP($A166,'Consolidate List'!$A$2:$P$1048576,12,FALSE),"")</f>
        <v>OUI</v>
      </c>
      <c r="G166" t="str">
        <f>IFERROR(VLOOKUP($A166,'Consolidate List'!$A$2:$P$1048576,11,FALSE),"")</f>
        <v>2 - Opportunistic</v>
      </c>
      <c r="H166" t="str">
        <f>IFERROR(VLOOKUP($A166,'Consolidate List'!$A$2:$P$1048576,9,FALSE),"")</f>
        <v>92-104 Lodz, Stokowska 17/19</v>
      </c>
      <c r="I166" t="str">
        <f>IFERROR(VLOOKUP($A166,'Consolidate List'!$A$2:$P$1048576,10,FALSE),"")</f>
        <v>Orange PoP Lodz</v>
      </c>
      <c r="J166" t="str">
        <f>IFERROR(_xlfn.CONCAT((VLOOKUP($A166,'Consolidate List'!$A$2:$P$1048576,5,FALSE)),", ",VLOOKUP($A166,'Consolidate List'!$A$2:$P$1048576,6,FALSE)),"")</f>
        <v>Lodz, Lodz</v>
      </c>
      <c r="K166" t="str">
        <f>IFERROR(VLOOKUP($A166,'Consolidate List'!$A$2:$P$1048576,17,FALSE),"")</f>
        <v/>
      </c>
    </row>
    <row r="167" spans="1:11" x14ac:dyDescent="0.35">
      <c r="A167" t="str">
        <f>IFERROR(Tableau1[[#This Row],[ID Unique]],"")</f>
        <v>ORGRORANIVIB</v>
      </c>
      <c r="B167" t="str">
        <f>IFERROR(VLOOKUP($A167,'Consolidate List'!$A$2:$P$1048576,15,FALSE),"")</f>
        <v>-3.7577792</v>
      </c>
      <c r="C167" t="str">
        <f>IFERROR(VLOOKUP($A167,'Consolidate List'!$A$2:$P$1048576,16,FALSE),"")</f>
        <v>https://orange0.sharepoint.com/sites/OBDCProximityServicesFieldOperationsRules/SitePages/OB-DataCenters-in-Ivory-Coast.aspx</v>
      </c>
      <c r="D167" t="str">
        <f>IFERROR(VLOOKUP($A167,'Consolidate List'!$A$2:$P$1048576,8,FALSE),"")</f>
        <v>ABJF04</v>
      </c>
      <c r="F167" t="str">
        <f>IFERROR(VLOOKUP($A167,'Consolidate List'!$A$2:$P$1048576,12,FALSE),"")</f>
        <v>OUI</v>
      </c>
      <c r="G167" t="str">
        <f>IFERROR(VLOOKUP($A167,'Consolidate List'!$A$2:$P$1048576,11,FALSE),"")</f>
        <v>2 - Opportunistic</v>
      </c>
      <c r="H167" t="str">
        <f>IFERROR(VLOOKUP($A167,'Consolidate List'!$A$2:$P$1048576,9,FALSE),"")</f>
        <v>VITIB Academy – BP 605 Grand-Bassam</v>
      </c>
      <c r="I167" t="str">
        <f>IFERROR(VLOOKUP($A167,'Consolidate List'!$A$2:$P$1048576,10,FALSE),"")</f>
        <v>Orange VITIB</v>
      </c>
      <c r="J167" t="str">
        <f>IFERROR(_xlfn.CONCAT((VLOOKUP($A167,'Consolidate List'!$A$2:$P$1048576,5,FALSE)),", ",VLOOKUP($A167,'Consolidate List'!$A$2:$P$1048576,6,FALSE)),"")</f>
        <v>Grand Bassam, Grand Bassam</v>
      </c>
      <c r="K167" t="str">
        <f>IFERROR(VLOOKUP($A167,'Consolidate List'!$A$2:$P$1048576,17,FALSE),"")</f>
        <v/>
      </c>
    </row>
    <row r="168" spans="1:11" x14ac:dyDescent="0.35">
      <c r="A168" t="str">
        <f>IFERROR(Tableau1[[#This Row],[ID Unique]],"")</f>
        <v>OROSOSL3NOL3</v>
      </c>
      <c r="B168" t="str">
        <f>IFERROR(VLOOKUP($A168,'Consolidate List'!$A$2:$P$1048576,15,FALSE),"")</f>
        <v>10.8810953</v>
      </c>
      <c r="C168" t="str">
        <f>IFERROR(VLOOKUP($A168,'Consolidate List'!$A$2:$P$1048576,16,FALSE),"")</f>
        <v>https://orange0.sharepoint.com/sites/OBDCProximityServicesFieldOperationsRules/SitePages/OB-(Basefarm)-DataCenters-in-Norway.aspx</v>
      </c>
      <c r="D168" t="str">
        <f>IFERROR(VLOOKUP($A168,'Consolidate List'!$A$2:$P$1048576,8,FALSE),"")</f>
        <v>OSLT04</v>
      </c>
      <c r="F168" t="str">
        <f>IFERROR(VLOOKUP($A168,'Consolidate List'!$A$2:$P$1048576,12,FALSE),"")</f>
        <v>OUI</v>
      </c>
      <c r="G168" t="str">
        <f>IFERROR(VLOOKUP($A168,'Consolidate List'!$A$2:$P$1048576,11,FALSE),"")</f>
        <v>1 - Major</v>
      </c>
      <c r="H168" t="str">
        <f>IFERROR(VLOOKUP($A168,'Consolidate List'!$A$2:$P$1048576,9,FALSE),"")</f>
        <v>Stanseveien 30, 0976 Oslo, Norway</v>
      </c>
      <c r="I168" t="str">
        <f>IFERROR(VLOOKUP($A168,'Consolidate List'!$A$2:$P$1048576,10,FALSE),"")</f>
        <v>OSL3</v>
      </c>
      <c r="J168" t="str">
        <f>IFERROR(_xlfn.CONCAT((VLOOKUP($A168,'Consolidate List'!$A$2:$P$1048576,5,FALSE)),", ",VLOOKUP($A168,'Consolidate List'!$A$2:$P$1048576,6,FALSE)),"")</f>
        <v>Oslo, Oslo</v>
      </c>
      <c r="K168" t="str">
        <f>IFERROR(VLOOKUP($A168,'Consolidate List'!$A$2:$P$1048576,17,FALSE),"")</f>
        <v/>
      </c>
    </row>
    <row r="169" spans="1:11" x14ac:dyDescent="0.35">
      <c r="A169" t="str">
        <f>IFERROR(Tableau1[[#This Row],[ID Unique]],"")</f>
        <v>OROSOSL5NOL5</v>
      </c>
      <c r="B169" t="str">
        <f>IFERROR(VLOOKUP($A169,'Consolidate List'!$A$2:$P$1048576,15,FALSE),"")</f>
        <v>10.9420651</v>
      </c>
      <c r="C169" t="str">
        <f>IFERROR(VLOOKUP($A169,'Consolidate List'!$A$2:$P$1048576,16,FALSE),"")</f>
        <v>https://orange0.sharepoint.com/sites/OBDCProximityServicesFieldOperationsRules/SitePages/OB-(Basefarm)-DataCenters-in-Norway.aspx</v>
      </c>
      <c r="D169" t="str">
        <f>IFERROR(VLOOKUP($A169,'Consolidate List'!$A$2:$P$1048576,8,FALSE),"")</f>
        <v>OSL5</v>
      </c>
      <c r="F169" t="str">
        <f>IFERROR(VLOOKUP($A169,'Consolidate List'!$A$2:$P$1048576,12,FALSE),"")</f>
        <v>OUI</v>
      </c>
      <c r="G169" t="str">
        <f>IFERROR(VLOOKUP($A169,'Consolidate List'!$A$2:$P$1048576,11,FALSE),"")</f>
        <v>1 - Major</v>
      </c>
      <c r="H169" t="str">
        <f>IFERROR(VLOOKUP($A169,'Consolidate List'!$A$2:$P$1048576,9,FALSE),"")</f>
        <v>Hornerudveien 25, 1461 Lørenskog, Norway</v>
      </c>
      <c r="I169" t="str">
        <f>IFERROR(VLOOKUP($A169,'Consolidate List'!$A$2:$P$1048576,10,FALSE),"")</f>
        <v>OSL5</v>
      </c>
      <c r="J169" t="str">
        <f>IFERROR(_xlfn.CONCAT((VLOOKUP($A169,'Consolidate List'!$A$2:$P$1048576,5,FALSE)),", ",VLOOKUP($A169,'Consolidate List'!$A$2:$P$1048576,6,FALSE)),"")</f>
        <v>Oslo, Oslo</v>
      </c>
      <c r="K169" t="str">
        <f>IFERROR(VLOOKUP($A169,'Consolidate List'!$A$2:$P$1048576,17,FALSE),"")</f>
        <v/>
      </c>
    </row>
    <row r="170" spans="1:11" x14ac:dyDescent="0.35">
      <c r="A170" t="str">
        <f>IFERROR(Tableau1[[#This Row],[ID Unique]],"")</f>
        <v>ORAMCH1FRH1</v>
      </c>
      <c r="B170" t="str">
        <f>IFERROR(VLOOKUP($A170,'Consolidate List'!$A$2:$P$1048576,15,FALSE),"")</f>
        <v>1.4274219</v>
      </c>
      <c r="C170" t="str">
        <f>IFERROR(VLOOKUP($A170,'Consolidate List'!$A$2:$P$1048576,16,FALSE),"")</f>
        <v>https://orange0.sharepoint.com/sites/OBDCProximityServicesFieldOperationsRules/SitePages/Orange-France-DataCenters.aspx</v>
      </c>
      <c r="D170" t="str">
        <f>IFERROR(VLOOKUP($A170,'Consolidate List'!$A$2:$P$1048576,8,FALSE),"")</f>
        <v>QTJT01 / QTJT02</v>
      </c>
      <c r="F170" t="str">
        <f>IFERROR(VLOOKUP($A170,'Consolidate List'!$A$2:$P$1048576,12,FALSE),"")</f>
        <v>OUI</v>
      </c>
      <c r="G170" t="str">
        <f>IFERROR(VLOOKUP($A170,'Consolidate List'!$A$2:$P$1048576,11,FALSE),"")</f>
        <v>1 - Major</v>
      </c>
      <c r="H170" t="str">
        <f>IFERROR(VLOOKUP($A170,'Consolidate List'!$A$2:$P$1048576,9,FALSE),"")</f>
        <v>Campus CVL, CCWG+MX3, 28300 Amilly</v>
      </c>
      <c r="I170" t="str">
        <f>IFERROR(VLOOKUP($A170,'Consolidate List'!$A$2:$P$1048576,10,FALSE),"")</f>
        <v>CH1</v>
      </c>
      <c r="J170" t="str">
        <f>IFERROR(_xlfn.CONCAT((VLOOKUP($A170,'Consolidate List'!$A$2:$P$1048576,5,FALSE)),", ",VLOOKUP($A170,'Consolidate List'!$A$2:$P$1048576,6,FALSE)),"")</f>
        <v>Chartres, Amilly</v>
      </c>
      <c r="K170" t="str">
        <f>IFERROR(VLOOKUP($A170,'Consolidate List'!$A$2:$P$1048576,17,FALSE),"")</f>
        <v/>
      </c>
    </row>
    <row r="171" spans="1:11" x14ac:dyDescent="0.35">
      <c r="A171" t="str">
        <f>IFERROR(Tableau1[[#This Row],[ID Unique]],"")</f>
        <v>ORVAND1FRD1</v>
      </c>
      <c r="B171" t="str">
        <f>IFERROR(VLOOKUP($A171,'Consolidate List'!$A$2:$P$1048576,15,FALSE),"")</f>
        <v>1.1888188</v>
      </c>
      <c r="C171" t="str">
        <f>IFERROR(VLOOKUP($A171,'Consolidate List'!$A$2:$P$1048576,16,FALSE),"")</f>
        <v>https://orange0.sharepoint.com/sites/OBDCProximityServicesFieldOperationsRules/SitePages/Orange-France-DataCenters.aspx</v>
      </c>
      <c r="D171" t="str">
        <f>IFERROR(VLOOKUP($A171,'Consolidate List'!$A$2:$P$1048576,8,FALSE),"")</f>
        <v>UROP05 / UROP06</v>
      </c>
      <c r="F171" t="str">
        <f>IFERROR(VLOOKUP($A171,'Consolidate List'!$A$2:$P$1048576,12,FALSE),"")</f>
        <v>OUI</v>
      </c>
      <c r="G171" t="str">
        <f>IFERROR(VLOOKUP($A171,'Consolidate List'!$A$2:$P$1048576,11,FALSE),"")</f>
        <v>1 - Major</v>
      </c>
      <c r="H171" t="str">
        <f>IFERROR(VLOOKUP($A171,'Consolidate List'!$A$2:$P$1048576,9,FALSE),"")</f>
        <v>Data Center Normandie, 1 voie de l’orée (7 voie de l'Orée for equipment shipment), 27100 Val de Reuil.</v>
      </c>
      <c r="I171" t="str">
        <f>IFERROR(VLOOKUP($A171,'Consolidate List'!$A$2:$P$1048576,10,FALSE),"")</f>
        <v>ND1</v>
      </c>
      <c r="J171" t="str">
        <f>IFERROR(_xlfn.CONCAT((VLOOKUP($A171,'Consolidate List'!$A$2:$P$1048576,5,FALSE)),", ",VLOOKUP($A171,'Consolidate List'!$A$2:$P$1048576,6,FALSE)),"")</f>
        <v>Normandie, Val de Reuil</v>
      </c>
      <c r="K171" t="str">
        <f>IFERROR(VLOOKUP($A171,'Consolidate List'!$A$2:$P$1048576,17,FALSE),"")</f>
        <v/>
      </c>
    </row>
    <row r="172" spans="1:11" x14ac:dyDescent="0.35">
      <c r="A172" t="str">
        <f>IFERROR(Tableau1[[#This Row],[ID Unique]],"")</f>
        <v>ORVAND2FRD2</v>
      </c>
      <c r="B172" t="str">
        <f>IFERROR(VLOOKUP($A172,'Consolidate List'!$A$2:$P$1048576,15,FALSE),"")</f>
        <v>1.1888188</v>
      </c>
      <c r="C172" t="str">
        <f>IFERROR(VLOOKUP($A172,'Consolidate List'!$A$2:$P$1048576,16,FALSE),"")</f>
        <v>https://orange0.sharepoint.com/sites/OBDCProximityServicesFieldOperationsRules/SitePages/Orange-France-DataCenters.aspx</v>
      </c>
      <c r="D172" t="str">
        <f>IFERROR(VLOOKUP($A172,'Consolidate List'!$A$2:$P$1048576,8,FALSE),"")</f>
        <v>UROP05 / UROP06</v>
      </c>
      <c r="F172" t="str">
        <f>IFERROR(VLOOKUP($A172,'Consolidate List'!$A$2:$P$1048576,12,FALSE),"")</f>
        <v>OUI</v>
      </c>
      <c r="G172" t="str">
        <f>IFERROR(VLOOKUP($A172,'Consolidate List'!$A$2:$P$1048576,11,FALSE),"")</f>
        <v>1 - Major</v>
      </c>
      <c r="H172" t="str">
        <f>IFERROR(VLOOKUP($A172,'Consolidate List'!$A$2:$P$1048576,9,FALSE),"")</f>
        <v>Data Center Normandie, 1 voie de l’orée (7 voie de l'Orée for equipment shipment), 27100 Val de Reuil.</v>
      </c>
      <c r="I172" t="str">
        <f>IFERROR(VLOOKUP($A172,'Consolidate List'!$A$2:$P$1048576,10,FALSE),"")</f>
        <v>ND2</v>
      </c>
      <c r="J172" t="str">
        <f>IFERROR(_xlfn.CONCAT((VLOOKUP($A172,'Consolidate List'!$A$2:$P$1048576,5,FALSE)),", ",VLOOKUP($A172,'Consolidate List'!$A$2:$P$1048576,6,FALSE)),"")</f>
        <v>Normandie, Val de Reuil</v>
      </c>
      <c r="K172" t="str">
        <f>IFERROR(VLOOKUP($A172,'Consolidate List'!$A$2:$P$1048576,17,FALSE),"")</f>
        <v/>
      </c>
    </row>
    <row r="173" spans="1:11" x14ac:dyDescent="0.35">
      <c r="A173" t="str">
        <f>IFERROR(Tableau1[[#This Row],[ID Unique]],"")</f>
        <v>EQZUZURISW02</v>
      </c>
      <c r="B173">
        <f>IFERROR(VLOOKUP($A173,'Consolidate List'!$A$2:$P$1048576,15,FALSE),"")</f>
        <v>8.4924989506119708</v>
      </c>
      <c r="C173" t="str">
        <f>IFERROR(VLOOKUP($A173,'Consolidate List'!$A$2:$P$1048576,16,FALSE),"")</f>
        <v>https://orange0.sharepoint.com/sites/OBDCProximityServicesFieldOperationsRules/SitePages/OB-(Equant)-DataCenters-in-Switzerland.aspx</v>
      </c>
      <c r="D173" t="str">
        <f>IFERROR(VLOOKUP($A173,'Consolidate List'!$A$2:$P$1048576,8,FALSE),"")</f>
        <v>ZRHX02</v>
      </c>
      <c r="F173" t="str">
        <f>IFERROR(VLOOKUP($A173,'Consolidate List'!$A$2:$P$1048576,12,FALSE),"")</f>
        <v>OUI</v>
      </c>
      <c r="G173" t="str">
        <f>IFERROR(VLOOKUP($A173,'Consolidate List'!$A$2:$P$1048576,11,FALSE),"")</f>
        <v>2 - Opportunistic</v>
      </c>
      <c r="H173" t="str">
        <f>IFERROR(VLOOKUP($A173,'Consolidate List'!$A$2:$P$1048576,9,FALSE),"")</f>
        <v>Albulastrasse 55, 8048 Zürich, Switzerland</v>
      </c>
      <c r="I173" t="str">
        <f>IFERROR(VLOOKUP($A173,'Consolidate List'!$A$2:$P$1048576,10,FALSE),"")</f>
        <v>Zurich - PoP ZRHX02</v>
      </c>
      <c r="J173" t="str">
        <f>IFERROR(_xlfn.CONCAT((VLOOKUP($A173,'Consolidate List'!$A$2:$P$1048576,5,FALSE)),", ",VLOOKUP($A173,'Consolidate List'!$A$2:$P$1048576,6,FALSE)),"")</f>
        <v>Zurich, Zurich</v>
      </c>
      <c r="K173" t="str">
        <f>IFERROR(VLOOKUP($A173,'Consolidate List'!$A$2:$P$1048576,17,FALSE),"")</f>
        <v/>
      </c>
    </row>
    <row r="174" spans="1:11" x14ac:dyDescent="0.35">
      <c r="A174" t="str">
        <f>IFERROR(Tableau1[[#This Row],[ID Unique]],"")</f>
        <v>NTSASAN UNSE</v>
      </c>
      <c r="B174" t="str">
        <f>IFERROR(VLOOKUP($A174,'Consolidate List'!$A$2:$P$1048576,15,FALSE),"")</f>
        <v>-121.8894616</v>
      </c>
      <c r="C174">
        <f>IFERROR(VLOOKUP($A174,'Consolidate List'!$A$2:$P$1048576,16,FALSE),"")</f>
        <v>0</v>
      </c>
      <c r="D174" t="str">
        <f>IFERROR(VLOOKUP($A174,'Consolidate List'!$A$2:$P$1048576,8,FALSE),"")</f>
        <v>SJCD01</v>
      </c>
      <c r="F174" t="str">
        <f>IFERROR(VLOOKUP($A174,'Consolidate List'!$A$2:$P$1048576,12,FALSE),"")</f>
        <v>NON</v>
      </c>
      <c r="G174" t="str">
        <f>IFERROR(VLOOKUP($A174,'Consolidate List'!$A$2:$P$1048576,11,FALSE),"")</f>
        <v>5 - Closed</v>
      </c>
      <c r="H174" t="str">
        <f>IFERROR(VLOOKUP($A174,'Consolidate List'!$A$2:$P$1048576,9,FALSE),"")</f>
        <v>2334 Lundy Place San Jose, CA  95131</v>
      </c>
      <c r="I174" t="str">
        <f>IFERROR(VLOOKUP($A174,'Consolidate List'!$A$2:$P$1048576,10,FALSE),"")</f>
        <v>San Jose</v>
      </c>
      <c r="J174" t="str">
        <f>IFERROR(_xlfn.CONCAT((VLOOKUP($A174,'Consolidate List'!$A$2:$P$1048576,5,FALSE)),", ",VLOOKUP($A174,'Consolidate List'!$A$2:$P$1048576,6,FALSE)),"")</f>
        <v>California, San Jose</v>
      </c>
      <c r="K174" t="str">
        <f>IFERROR(VLOOKUP($A174,'Consolidate List'!$A$2:$P$1048576,17,FALSE),"")</f>
        <v/>
      </c>
    </row>
    <row r="175" spans="1:11" x14ac:dyDescent="0.35">
      <c r="A175" t="str">
        <f>IFERROR(Tableau1[[#This Row],[ID Unique]],"")</f>
        <v>QTATATL1UNL1</v>
      </c>
      <c r="B175" t="str">
        <f>IFERROR(VLOOKUP($A175,'Consolidate List'!$A$2:$P$1048576,15,FALSE),"")</f>
        <v>-84.42104909999999</v>
      </c>
      <c r="C175">
        <f>IFERROR(VLOOKUP($A175,'Consolidate List'!$A$2:$P$1048576,16,FALSE),"")</f>
        <v>0</v>
      </c>
      <c r="D175" t="str">
        <f>IFERROR(VLOOKUP($A175,'Consolidate List'!$A$2:$P$1048576,8,FALSE),"")</f>
        <v>ATLH06</v>
      </c>
      <c r="F175" t="str">
        <f>IFERROR(VLOOKUP($A175,'Consolidate List'!$A$2:$P$1048576,12,FALSE),"")</f>
        <v>NON</v>
      </c>
      <c r="G175" t="str">
        <f>IFERROR(VLOOKUP($A175,'Consolidate List'!$A$2:$P$1048576,11,FALSE),"")</f>
        <v>4 - Frozen</v>
      </c>
      <c r="H175" t="str">
        <f>IFERROR(VLOOKUP($A175,'Consolidate List'!$A$2:$P$1048576,9,FALSE),"")</f>
        <v xml:space="preserve">1033 Jefferson Street NW, Atlanta, Georgia 30318 </v>
      </c>
      <c r="I175" t="str">
        <f>IFERROR(VLOOKUP($A175,'Consolidate List'!$A$2:$P$1048576,10,FALSE),"")</f>
        <v>ATL1</v>
      </c>
      <c r="J175" t="str">
        <f>IFERROR(_xlfn.CONCAT((VLOOKUP($A175,'Consolidate List'!$A$2:$P$1048576,5,FALSE)),", ",VLOOKUP($A175,'Consolidate List'!$A$2:$P$1048576,6,FALSE)),"")</f>
        <v>Georgia, Atlanta</v>
      </c>
      <c r="K175" t="str">
        <f>IFERROR(VLOOKUP($A175,'Consolidate List'!$A$2:$P$1048576,17,FALSE),"")</f>
        <v/>
      </c>
    </row>
    <row r="176" spans="1:11" x14ac:dyDescent="0.35">
      <c r="A176" t="str">
        <f>IFERROR(Tableau1[[#This Row],[ID Unique]],"")</f>
        <v>ORHEIADXUN01</v>
      </c>
      <c r="B176" t="str">
        <f>IFERROR(VLOOKUP($A176,'Consolidate List'!$A$2:$P$1048576,15,FALSE),"")</f>
        <v>-77.4240282</v>
      </c>
      <c r="C176">
        <f>IFERROR(VLOOKUP($A176,'Consolidate List'!$A$2:$P$1048576,16,FALSE),"")</f>
        <v>0</v>
      </c>
      <c r="D176" t="str">
        <f>IFERROR(VLOOKUP($A176,'Consolidate List'!$A$2:$P$1048576,8,FALSE),"")</f>
        <v>IADX01</v>
      </c>
      <c r="F176" t="str">
        <f>IFERROR(VLOOKUP($A176,'Consolidate List'!$A$2:$P$1048576,12,FALSE),"")</f>
        <v>NON</v>
      </c>
      <c r="G176" t="str">
        <f>IFERROR(VLOOKUP($A176,'Consolidate List'!$A$2:$P$1048576,11,FALSE),"")</f>
        <v>5 - Closed</v>
      </c>
      <c r="H176" t="str">
        <f>IFERROR(VLOOKUP($A176,'Consolidate List'!$A$2:$P$1048576,9,FALSE),"")</f>
        <v>13775 McLearen Road, 20171, Herndon</v>
      </c>
      <c r="I176" t="str">
        <f>IFERROR(VLOOKUP($A176,'Consolidate List'!$A$2:$P$1048576,10,FALSE),"")</f>
        <v>IADX01</v>
      </c>
      <c r="J176" t="str">
        <f>IFERROR(_xlfn.CONCAT((VLOOKUP($A176,'Consolidate List'!$A$2:$P$1048576,5,FALSE)),", ",VLOOKUP($A176,'Consolidate List'!$A$2:$P$1048576,6,FALSE)),"")</f>
        <v>Virginia, Herndon</v>
      </c>
      <c r="K176" t="str">
        <f>IFERROR(VLOOKUP($A176,'Consolidate List'!$A$2:$P$1048576,17,FALSE),"")</f>
        <v/>
      </c>
    </row>
    <row r="177" spans="1:11" x14ac:dyDescent="0.35">
      <c r="A177" t="str">
        <f>IFERROR(Tableau1[[#This Row],[ID Unique]],"")</f>
        <v>ORDAORANSEUE</v>
      </c>
      <c r="B177" t="str">
        <f>IFERROR(VLOOKUP($A177,'Consolidate List'!$A$2:$P$1048576,15,FALSE),"")</f>
        <v>-17.4377127</v>
      </c>
      <c r="C177" t="str">
        <f>IFERROR(VLOOKUP($A177,'Consolidate List'!$A$2:$P$1048576,16,FALSE),"")</f>
        <v>https://orange0.sharepoint.com/sites/OBDCProximityServicesFieldOperationsRules/SitePages/OB-(Sonatel)-DataCenters-in-Senegal.aspx</v>
      </c>
      <c r="D177" t="str">
        <f>IFERROR(VLOOKUP($A177,'Consolidate List'!$A$2:$P$1048576,8,FALSE),"")</f>
        <v>to be determined with GINI</v>
      </c>
      <c r="F177" t="str">
        <f>IFERROR(VLOOKUP($A177,'Consolidate List'!$A$2:$P$1048576,12,FALSE),"")</f>
        <v>OUI</v>
      </c>
      <c r="G177" t="str">
        <f>IFERROR(VLOOKUP($A177,'Consolidate List'!$A$2:$P$1048576,11,FALSE),"")</f>
        <v>2 - Opportunistic</v>
      </c>
      <c r="H177" t="str">
        <f>IFERROR(VLOOKUP($A177,'Consolidate List'!$A$2:$P$1048576,9,FALSE),"")</f>
        <v>Rte de Rufisque, Dakar, Sénégal</v>
      </c>
      <c r="I177" t="str">
        <f>IFERROR(VLOOKUP($A177,'Consolidate List'!$A$2:$P$1048576,10,FALSE),"")</f>
        <v>Orange Sonatel Rufisque</v>
      </c>
      <c r="J177" t="str">
        <f>IFERROR(_xlfn.CONCAT((VLOOKUP($A177,'Consolidate List'!$A$2:$P$1048576,5,FALSE)),", ",VLOOKUP($A177,'Consolidate List'!$A$2:$P$1048576,6,FALSE)),"")</f>
        <v>Dakar, Dakar</v>
      </c>
      <c r="K177" t="str">
        <f>IFERROR(VLOOKUP($A177,'Consolidate List'!$A$2:$P$1048576,17,FALSE),"")</f>
        <v/>
      </c>
    </row>
    <row r="178" spans="1:11" x14ac:dyDescent="0.35">
      <c r="A178" t="str">
        <f>IFERROR(Tableau1[[#This Row],[ID Unique]],"")</f>
        <v>TEPATH3FRH3</v>
      </c>
      <c r="B178" t="str">
        <f>IFERROR(VLOOKUP($A178,'Consolidate List'!$A$2:$P$1048576,15,FALSE),"")</f>
        <v>2.0814726</v>
      </c>
      <c r="C178" t="str">
        <f>IFERROR(VLOOKUP($A178,'Consolidate List'!$A$2:$P$1048576,16,FALSE),"")</f>
        <v>https://orange0.sharepoint.com/sites/OBDCProximityServicesFieldOperationsRules/SitePages/Telehouse-DataCenters-in-%C3%8Ele-de-France.aspx</v>
      </c>
      <c r="D178" t="str">
        <f>IFERROR(VLOOKUP($A178,'Consolidate List'!$A$2:$P$1048576,8,FALSE),"")</f>
        <v>not found on GINI</v>
      </c>
      <c r="F178" t="str">
        <f>IFERROR(VLOOKUP($A178,'Consolidate List'!$A$2:$P$1048576,12,FALSE),"")</f>
        <v>OUI</v>
      </c>
      <c r="G178" t="str">
        <f>IFERROR(VLOOKUP($A178,'Consolidate List'!$A$2:$P$1048576,11,FALSE),"")</f>
        <v>2 - Opportunistic</v>
      </c>
      <c r="H178" t="str">
        <f>IFERROR(VLOOKUP($A178,'Consolidate List'!$A$2:$P$1048576,9,FALSE),"")</f>
        <v>1 Rue Pablo Picasso, 78114 Magny-les-Hameaux</v>
      </c>
      <c r="I178" t="str">
        <f>IFERROR(VLOOKUP($A178,'Consolidate List'!$A$2:$P$1048576,10,FALSE),"")</f>
        <v>TH3</v>
      </c>
      <c r="J178" t="str">
        <f>IFERROR(_xlfn.CONCAT((VLOOKUP($A178,'Consolidate List'!$A$2:$P$1048576,5,FALSE)),", ",VLOOKUP($A178,'Consolidate List'!$A$2:$P$1048576,6,FALSE)),"")</f>
        <v>Paris, Paris</v>
      </c>
      <c r="K178" t="str">
        <f>IFERROR(VLOOKUP($A178,'Consolidate List'!$A$2:$P$1048576,17,FALSE),"")</f>
        <v/>
      </c>
    </row>
    <row r="179" spans="1:11" x14ac:dyDescent="0.35">
      <c r="A179" t="str">
        <f>IFERROR(Tableau1[[#This Row],[ID Unique]],"")</f>
        <v>TEPATH2FRH2</v>
      </c>
      <c r="B179" t="str">
        <f>IFERROR(VLOOKUP($A179,'Consolidate List'!$A$2:$P$1048576,15,FALSE),"")</f>
        <v>2.3835199</v>
      </c>
      <c r="C179" t="str">
        <f>IFERROR(VLOOKUP($A179,'Consolidate List'!$A$2:$P$1048576,16,FALSE),"")</f>
        <v>https://orange0.sharepoint.com/sites/OBDCProximityServicesFieldOperationsRules/SitePages/Telehouse-DataCenters-in-%C3%8Ele-de-France.aspx</v>
      </c>
      <c r="D179" t="str">
        <f>IFERROR(VLOOKUP($A179,'Consolidate List'!$A$2:$P$1048576,8,FALSE),"")</f>
        <v>PARF14</v>
      </c>
      <c r="F179" t="str">
        <f>IFERROR(VLOOKUP($A179,'Consolidate List'!$A$2:$P$1048576,12,FALSE),"")</f>
        <v>OUI</v>
      </c>
      <c r="G179" t="str">
        <f>IFERROR(VLOOKUP($A179,'Consolidate List'!$A$2:$P$1048576,11,FALSE),"")</f>
        <v>2 - Opportunistic</v>
      </c>
      <c r="H179" t="str">
        <f>IFERROR(VLOOKUP($A179,'Consolidate List'!$A$2:$P$1048576,9,FALSE),"")</f>
        <v>137 Bd Voltaire, 75011 Paris</v>
      </c>
      <c r="I179" t="str">
        <f>IFERROR(VLOOKUP($A179,'Consolidate List'!$A$2:$P$1048576,10,FALSE),"")</f>
        <v>TH2</v>
      </c>
      <c r="J179" t="str">
        <f>IFERROR(_xlfn.CONCAT((VLOOKUP($A179,'Consolidate List'!$A$2:$P$1048576,5,FALSE)),", ",VLOOKUP($A179,'Consolidate List'!$A$2:$P$1048576,6,FALSE)),"")</f>
        <v>Paris, Paris</v>
      </c>
      <c r="K179" t="str">
        <f>IFERROR(VLOOKUP($A179,'Consolidate List'!$A$2:$P$1048576,17,FALSE),"")</f>
        <v/>
      </c>
    </row>
    <row r="180" spans="1:11" x14ac:dyDescent="0.35">
      <c r="A180" t="str">
        <f>IFERROR(Tableau1[[#This Row],[ID Unique]],"")</f>
        <v>CTNONOIDINC1</v>
      </c>
      <c r="B180">
        <f>IFERROR(VLOOKUP($A180,'Consolidate List'!$A$2:$P$1048576,15,FALSE),"")</f>
        <v>77.351799999999997</v>
      </c>
      <c r="C180">
        <f>IFERROR(VLOOKUP($A180,'Consolidate List'!$A$2:$P$1048576,16,FALSE),"")</f>
        <v>0</v>
      </c>
      <c r="D180" t="str">
        <f>IFERROR(VLOOKUP($A180,'Consolidate List'!$A$2:$P$1048576,8,FALSE),"")</f>
        <v>DELT08</v>
      </c>
      <c r="F180" t="str">
        <f>IFERROR(VLOOKUP($A180,'Consolidate List'!$A$2:$P$1048576,12,FALSE),"")</f>
        <v>NON</v>
      </c>
      <c r="G180" t="str">
        <f>IFERROR(VLOOKUP($A180,'Consolidate List'!$A$2:$P$1048576,11,FALSE),"")</f>
        <v>3 - Opportunistic not to promote</v>
      </c>
      <c r="H180" t="str">
        <f>IFERROR(VLOOKUP($A180,'Consolidate List'!$A$2:$P$1048576,9,FALSE),"")</f>
        <v>Plot No.13, Bakhtawarpur, Sector 127, Noida, Uttar Pradesh 201304, India</v>
      </c>
      <c r="I180" t="str">
        <f>IFERROR(VLOOKUP($A180,'Consolidate List'!$A$2:$P$1048576,10,FALSE),"")</f>
        <v>Noida DC1</v>
      </c>
      <c r="J180" t="str">
        <f>IFERROR(_xlfn.CONCAT((VLOOKUP($A180,'Consolidate List'!$A$2:$P$1048576,5,FALSE)),", ",VLOOKUP($A180,'Consolidate List'!$A$2:$P$1048576,6,FALSE)),"")</f>
        <v>Noida, Noida</v>
      </c>
      <c r="K180" t="str">
        <f>IFERROR(VLOOKUP($A180,'Consolidate List'!$A$2:$P$1048576,17,FALSE),"")</f>
        <v/>
      </c>
    </row>
    <row r="181" spans="1:11" x14ac:dyDescent="0.35">
      <c r="A181" t="str">
        <f>IFERROR(Tableau1[[#This Row],[ID Unique]],"")</f>
        <v>TEJOJB1SOB1</v>
      </c>
      <c r="B181" t="str">
        <f>IFERROR(VLOOKUP($A181,'Consolidate List'!$A$2:$P$1048576,15,FALSE),"")</f>
        <v>28.1975458</v>
      </c>
      <c r="C181" t="str">
        <f>IFERROR(VLOOKUP($A181,'Consolidate List'!$A$2:$P$1048576,16,FALSE),"")</f>
        <v>https://plazza.orange.com/docs/DOC-2341024</v>
      </c>
      <c r="D181" t="str">
        <f>IFERROR(VLOOKUP($A181,'Consolidate List'!$A$2:$P$1048576,8,FALSE),"")</f>
        <v>to be determined with GINI</v>
      </c>
      <c r="F181" t="str">
        <f>IFERROR(VLOOKUP($A181,'Consolidate List'!$A$2:$P$1048576,12,FALSE),"")</f>
        <v>OUI</v>
      </c>
      <c r="G181" t="str">
        <f>IFERROR(VLOOKUP($A181,'Consolidate List'!$A$2:$P$1048576,11,FALSE),"")</f>
        <v>2 - Opportunistic</v>
      </c>
      <c r="H181" t="str">
        <f>IFERROR(VLOOKUP($A181,'Consolidate List'!$A$2:$P$1048576,9,FALSE),"")</f>
        <v>5 Brewery St, Kempton Park, 1600 South Africa</v>
      </c>
      <c r="I181" t="str">
        <f>IFERROR(VLOOKUP($A181,'Consolidate List'!$A$2:$P$1048576,10,FALSE),"")</f>
        <v>JB1</v>
      </c>
      <c r="J181" t="str">
        <f>IFERROR(_xlfn.CONCAT((VLOOKUP($A181,'Consolidate List'!$A$2:$P$1048576,5,FALSE)),", ",VLOOKUP($A181,'Consolidate List'!$A$2:$P$1048576,6,FALSE)),"")</f>
        <v>Johannesbourg, Johannesbourg</v>
      </c>
      <c r="K181" t="str">
        <f>IFERROR(VLOOKUP($A181,'Consolidate List'!$A$2:$P$1048576,17,FALSE),"")</f>
        <v/>
      </c>
    </row>
    <row r="182" spans="1:11" x14ac:dyDescent="0.35">
      <c r="A182" t="str">
        <f>IFERROR(Tableau1[[#This Row],[ID Unique]],"")</f>
        <v/>
      </c>
      <c r="B182" t="str">
        <f>IFERROR(VLOOKUP($A182,'Consolidate List'!$A$2:$P$1048576,15,FALSE),"")</f>
        <v/>
      </c>
      <c r="C182" t="str">
        <f>IFERROR(VLOOKUP($A182,'Consolidate List'!$A$2:$P$1048576,16,FALSE),"")</f>
        <v/>
      </c>
      <c r="D182" t="str">
        <f>IFERROR(VLOOKUP($A182,'Consolidate List'!$A$2:$P$1048576,8,FALSE),"")</f>
        <v/>
      </c>
      <c r="F182" t="str">
        <f>IFERROR(VLOOKUP($A182,'Consolidate List'!$A$2:$P$1048576,12,FALSE),"")</f>
        <v/>
      </c>
      <c r="G182" t="str">
        <f>IFERROR(VLOOKUP($A182,'Consolidate List'!$A$2:$P$1048576,11,FALSE),"")</f>
        <v/>
      </c>
      <c r="H182" t="str">
        <f>IFERROR(VLOOKUP($A182,'Consolidate List'!$A$2:$P$1048576,9,FALSE),"")</f>
        <v/>
      </c>
      <c r="I182" t="str">
        <f>IFERROR(VLOOKUP($A182,'Consolidate List'!$A$2:$P$1048576,10,FALSE),"")</f>
        <v/>
      </c>
      <c r="J182" t="str">
        <f>IFERROR(_xlfn.CONCAT((VLOOKUP($A182,'Consolidate List'!$A$2:$P$1048576,5,FALSE)),", ",VLOOKUP($A182,'Consolidate List'!$A$2:$P$1048576,6,FALSE)),"")</f>
        <v/>
      </c>
      <c r="K182" t="str">
        <f>IFERROR(VLOOKUP($A182,'Consolidate List'!$A$2:$P$1048576,17,FALSE),"")</f>
        <v/>
      </c>
    </row>
    <row r="183" spans="1:11" x14ac:dyDescent="0.35">
      <c r="A183" t="str">
        <f>IFERROR(Tableau1[[#This Row],[ID Unique]],"")</f>
        <v/>
      </c>
      <c r="B183" t="str">
        <f>IFERROR(VLOOKUP($A183,'Consolidate List'!$A$2:$P$1048576,15,FALSE),"")</f>
        <v/>
      </c>
      <c r="C183" t="str">
        <f>IFERROR(VLOOKUP($A183,'Consolidate List'!$A$2:$P$1048576,16,FALSE),"")</f>
        <v/>
      </c>
      <c r="D183" t="str">
        <f>IFERROR(VLOOKUP($A183,'Consolidate List'!$A$2:$P$1048576,8,FALSE),"")</f>
        <v/>
      </c>
      <c r="F183" t="str">
        <f>IFERROR(VLOOKUP($A183,'Consolidate List'!$A$2:$P$1048576,12,FALSE),"")</f>
        <v/>
      </c>
      <c r="G183" t="str">
        <f>IFERROR(VLOOKUP($A183,'Consolidate List'!$A$2:$P$1048576,11,FALSE),"")</f>
        <v/>
      </c>
      <c r="H183" t="str">
        <f>IFERROR(VLOOKUP($A183,'Consolidate List'!$A$2:$P$1048576,9,FALSE),"")</f>
        <v/>
      </c>
      <c r="I183" t="str">
        <f>IFERROR(VLOOKUP($A183,'Consolidate List'!$A$2:$P$1048576,10,FALSE),"")</f>
        <v/>
      </c>
      <c r="J183" t="str">
        <f>IFERROR(_xlfn.CONCAT((VLOOKUP($A183,'Consolidate List'!$A$2:$P$1048576,5,FALSE)),", ",VLOOKUP($A183,'Consolidate List'!$A$2:$P$1048576,6,FALSE)),"")</f>
        <v/>
      </c>
      <c r="K183" t="str">
        <f>IFERROR(VLOOKUP($A183,'Consolidate List'!$A$2:$P$1048576,17,FALSE),"")</f>
        <v/>
      </c>
    </row>
    <row r="184" spans="1:11" x14ac:dyDescent="0.35">
      <c r="A184" t="str">
        <f>IFERROR(Tableau1[[#This Row],[ID Unique]],"")</f>
        <v/>
      </c>
      <c r="B184" t="str">
        <f>IFERROR(VLOOKUP($A184,'Consolidate List'!$A$2:$P$1048576,15,FALSE),"")</f>
        <v/>
      </c>
      <c r="C184" t="str">
        <f>IFERROR(VLOOKUP($A184,'Consolidate List'!$A$2:$P$1048576,16,FALSE),"")</f>
        <v/>
      </c>
      <c r="D184" t="str">
        <f>IFERROR(VLOOKUP($A184,'Consolidate List'!$A$2:$P$1048576,8,FALSE),"")</f>
        <v/>
      </c>
      <c r="F184" t="str">
        <f>IFERROR(VLOOKUP($A184,'Consolidate List'!$A$2:$P$1048576,12,FALSE),"")</f>
        <v/>
      </c>
      <c r="G184" t="str">
        <f>IFERROR(VLOOKUP($A184,'Consolidate List'!$A$2:$P$1048576,11,FALSE),"")</f>
        <v/>
      </c>
      <c r="H184" t="str">
        <f>IFERROR(VLOOKUP($A184,'Consolidate List'!$A$2:$P$1048576,9,FALSE),"")</f>
        <v/>
      </c>
      <c r="I184" t="str">
        <f>IFERROR(VLOOKUP($A184,'Consolidate List'!$A$2:$P$1048576,10,FALSE),"")</f>
        <v/>
      </c>
      <c r="J184" t="str">
        <f>IFERROR(_xlfn.CONCAT((VLOOKUP($A184,'Consolidate List'!$A$2:$P$1048576,5,FALSE)),", ",VLOOKUP($A184,'Consolidate List'!$A$2:$P$1048576,6,FALSE)),"")</f>
        <v/>
      </c>
      <c r="K184" t="str">
        <f>IFERROR(VLOOKUP($A184,'Consolidate List'!$A$2:$P$1048576,17,FALSE),"")</f>
        <v/>
      </c>
    </row>
    <row r="185" spans="1:11" x14ac:dyDescent="0.35">
      <c r="A185" t="str">
        <f>IFERROR(Tableau1[[#This Row],[ID Unique]],"")</f>
        <v/>
      </c>
      <c r="B185" t="str">
        <f>IFERROR(VLOOKUP($A185,'Consolidate List'!$A$2:$P$1048576,15,FALSE),"")</f>
        <v/>
      </c>
      <c r="C185" t="str">
        <f>IFERROR(VLOOKUP($A185,'Consolidate List'!$A$2:$P$1048576,16,FALSE),"")</f>
        <v/>
      </c>
      <c r="D185" t="str">
        <f>IFERROR(VLOOKUP($A185,'Consolidate List'!$A$2:$P$1048576,8,FALSE),"")</f>
        <v/>
      </c>
      <c r="F185" t="str">
        <f>IFERROR(VLOOKUP($A185,'Consolidate List'!$A$2:$P$1048576,12,FALSE),"")</f>
        <v/>
      </c>
      <c r="G185" t="str">
        <f>IFERROR(VLOOKUP($A185,'Consolidate List'!$A$2:$P$1048576,11,FALSE),"")</f>
        <v/>
      </c>
      <c r="H185" t="str">
        <f>IFERROR(VLOOKUP($A185,'Consolidate List'!$A$2:$P$1048576,9,FALSE),"")</f>
        <v/>
      </c>
      <c r="I185" t="str">
        <f>IFERROR(VLOOKUP($A185,'Consolidate List'!$A$2:$P$1048576,10,FALSE),"")</f>
        <v/>
      </c>
      <c r="J185" t="str">
        <f>IFERROR(_xlfn.CONCAT((VLOOKUP($A185,'Consolidate List'!$A$2:$P$1048576,5,FALSE)),", ",VLOOKUP($A185,'Consolidate List'!$A$2:$P$1048576,6,FALSE)),"")</f>
        <v/>
      </c>
      <c r="K185" t="str">
        <f>IFERROR(VLOOKUP($A185,'Consolidate List'!$A$2:$P$1048576,17,FALSE),"")</f>
        <v/>
      </c>
    </row>
    <row r="186" spans="1:11" x14ac:dyDescent="0.35">
      <c r="A186" t="str">
        <f>IFERROR(Tableau1[[#This Row],[ID Unique]],"")</f>
        <v/>
      </c>
      <c r="B186" t="str">
        <f>IFERROR(VLOOKUP($A186,'Consolidate List'!$A$2:$P$1048576,15,FALSE),"")</f>
        <v/>
      </c>
      <c r="C186" t="str">
        <f>IFERROR(VLOOKUP($A186,'Consolidate List'!$A$2:$P$1048576,16,FALSE),"")</f>
        <v/>
      </c>
      <c r="D186" t="str">
        <f>IFERROR(VLOOKUP($A186,'Consolidate List'!$A$2:$P$1048576,8,FALSE),"")</f>
        <v/>
      </c>
      <c r="F186" t="str">
        <f>IFERROR(VLOOKUP($A186,'Consolidate List'!$A$2:$P$1048576,12,FALSE),"")</f>
        <v/>
      </c>
      <c r="G186" t="str">
        <f>IFERROR(VLOOKUP($A186,'Consolidate List'!$A$2:$P$1048576,11,FALSE),"")</f>
        <v/>
      </c>
      <c r="H186" t="str">
        <f>IFERROR(VLOOKUP($A186,'Consolidate List'!$A$2:$P$1048576,9,FALSE),"")</f>
        <v/>
      </c>
      <c r="I186" t="str">
        <f>IFERROR(VLOOKUP($A186,'Consolidate List'!$A$2:$P$1048576,10,FALSE),"")</f>
        <v/>
      </c>
      <c r="J186" t="str">
        <f>IFERROR(_xlfn.CONCAT((VLOOKUP($A186,'Consolidate List'!$A$2:$P$1048576,5,FALSE)),", ",VLOOKUP($A186,'Consolidate List'!$A$2:$P$1048576,6,FALSE)),"")</f>
        <v/>
      </c>
      <c r="K186" t="str">
        <f>IFERROR(VLOOKUP($A186,'Consolidate List'!$A$2:$P$1048576,17,FALSE),"")</f>
        <v/>
      </c>
    </row>
    <row r="187" spans="1:11" x14ac:dyDescent="0.35">
      <c r="A187" t="str">
        <f>IFERROR(Tableau1[[#This Row],[ID Unique]],"")</f>
        <v/>
      </c>
      <c r="B187" t="str">
        <f>IFERROR(VLOOKUP($A187,'Consolidate List'!$A$2:$P$1048576,15,FALSE),"")</f>
        <v/>
      </c>
      <c r="C187" t="str">
        <f>IFERROR(VLOOKUP($A187,'Consolidate List'!$A$2:$P$1048576,16,FALSE),"")</f>
        <v/>
      </c>
      <c r="D187" t="str">
        <f>IFERROR(VLOOKUP($A187,'Consolidate List'!$A$2:$P$1048576,8,FALSE),"")</f>
        <v/>
      </c>
      <c r="F187" t="str">
        <f>IFERROR(VLOOKUP($A187,'Consolidate List'!$A$2:$P$1048576,12,FALSE),"")</f>
        <v/>
      </c>
      <c r="G187" t="str">
        <f>IFERROR(VLOOKUP($A187,'Consolidate List'!$A$2:$P$1048576,11,FALSE),"")</f>
        <v/>
      </c>
      <c r="H187" t="str">
        <f>IFERROR(VLOOKUP($A187,'Consolidate List'!$A$2:$P$1048576,9,FALSE),"")</f>
        <v/>
      </c>
      <c r="I187" t="str">
        <f>IFERROR(VLOOKUP($A187,'Consolidate List'!$A$2:$P$1048576,10,FALSE),"")</f>
        <v/>
      </c>
      <c r="J187" t="str">
        <f>IFERROR(_xlfn.CONCAT((VLOOKUP($A187,'Consolidate List'!$A$2:$P$1048576,5,FALSE)),", ",VLOOKUP($A187,'Consolidate List'!$A$2:$P$1048576,6,FALSE)),"")</f>
        <v/>
      </c>
      <c r="K187" t="str">
        <f>IFERROR(VLOOKUP($A187,'Consolidate List'!$A$2:$P$1048576,17,FALSE),"")</f>
        <v/>
      </c>
    </row>
    <row r="188" spans="1:11" x14ac:dyDescent="0.35">
      <c r="A188" t="str">
        <f>IFERROR(Tableau1[[#This Row],[ID Unique]],"")</f>
        <v/>
      </c>
      <c r="B188" t="str">
        <f>IFERROR(VLOOKUP($A188,'Consolidate List'!$A$2:$P$1048576,15,FALSE),"")</f>
        <v/>
      </c>
      <c r="C188" t="str">
        <f>IFERROR(VLOOKUP($A188,'Consolidate List'!$A$2:$P$1048576,16,FALSE),"")</f>
        <v/>
      </c>
      <c r="D188" t="str">
        <f>IFERROR(VLOOKUP($A188,'Consolidate List'!$A$2:$P$1048576,8,FALSE),"")</f>
        <v/>
      </c>
      <c r="F188" t="str">
        <f>IFERROR(VLOOKUP($A188,'Consolidate List'!$A$2:$P$1048576,12,FALSE),"")</f>
        <v/>
      </c>
      <c r="G188" t="str">
        <f>IFERROR(VLOOKUP($A188,'Consolidate List'!$A$2:$P$1048576,11,FALSE),"")</f>
        <v/>
      </c>
      <c r="H188" t="str">
        <f>IFERROR(VLOOKUP($A188,'Consolidate List'!$A$2:$P$1048576,9,FALSE),"")</f>
        <v/>
      </c>
      <c r="I188" t="str">
        <f>IFERROR(VLOOKUP($A188,'Consolidate List'!$A$2:$P$1048576,10,FALSE),"")</f>
        <v/>
      </c>
      <c r="J188" t="str">
        <f>IFERROR(_xlfn.CONCAT((VLOOKUP($A188,'Consolidate List'!$A$2:$P$1048576,5,FALSE)),", ",VLOOKUP($A188,'Consolidate List'!$A$2:$P$1048576,6,FALSE)),"")</f>
        <v/>
      </c>
      <c r="K188" t="str">
        <f>IFERROR(VLOOKUP($A188,'Consolidate List'!$A$2:$P$1048576,17,FALSE),"")</f>
        <v/>
      </c>
    </row>
    <row r="189" spans="1:11" x14ac:dyDescent="0.35">
      <c r="A189" t="str">
        <f>IFERROR(Tableau1[[#This Row],[ID Unique]],"")</f>
        <v/>
      </c>
      <c r="B189" t="str">
        <f>IFERROR(VLOOKUP($A189,'Consolidate List'!$A$2:$P$1048576,15,FALSE),"")</f>
        <v/>
      </c>
      <c r="C189" t="str">
        <f>IFERROR(VLOOKUP($A189,'Consolidate List'!$A$2:$P$1048576,16,FALSE),"")</f>
        <v/>
      </c>
      <c r="D189" t="str">
        <f>IFERROR(VLOOKUP($A189,'Consolidate List'!$A$2:$P$1048576,8,FALSE),"")</f>
        <v/>
      </c>
      <c r="F189" t="str">
        <f>IFERROR(VLOOKUP($A189,'Consolidate List'!$A$2:$P$1048576,12,FALSE),"")</f>
        <v/>
      </c>
      <c r="G189" t="str">
        <f>IFERROR(VLOOKUP($A189,'Consolidate List'!$A$2:$P$1048576,11,FALSE),"")</f>
        <v/>
      </c>
      <c r="H189" t="str">
        <f>IFERROR(VLOOKUP($A189,'Consolidate List'!$A$2:$P$1048576,9,FALSE),"")</f>
        <v/>
      </c>
      <c r="I189" t="str">
        <f>IFERROR(VLOOKUP($A189,'Consolidate List'!$A$2:$P$1048576,10,FALSE),"")</f>
        <v/>
      </c>
      <c r="J189" t="str">
        <f>IFERROR(_xlfn.CONCAT((VLOOKUP($A189,'Consolidate List'!$A$2:$P$1048576,5,FALSE)),", ",VLOOKUP($A189,'Consolidate List'!$A$2:$P$1048576,6,FALSE)),"")</f>
        <v/>
      </c>
      <c r="K189" t="str">
        <f>IFERROR(VLOOKUP($A189,'Consolidate List'!$A$2:$P$1048576,17,FALSE),"")</f>
        <v/>
      </c>
    </row>
    <row r="190" spans="1:11" x14ac:dyDescent="0.35">
      <c r="A190" t="str">
        <f>IFERROR(Tableau1[[#This Row],[ID Unique]],"")</f>
        <v/>
      </c>
      <c r="B190" t="str">
        <f>IFERROR(VLOOKUP($A190,'Consolidate List'!$A$2:$P$1048576,15,FALSE),"")</f>
        <v/>
      </c>
      <c r="C190" t="str">
        <f>IFERROR(VLOOKUP($A190,'Consolidate List'!$A$2:$P$1048576,16,FALSE),"")</f>
        <v/>
      </c>
      <c r="D190" t="str">
        <f>IFERROR(VLOOKUP($A190,'Consolidate List'!$A$2:$P$1048576,8,FALSE),"")</f>
        <v/>
      </c>
      <c r="F190" t="str">
        <f>IFERROR(VLOOKUP($A190,'Consolidate List'!$A$2:$P$1048576,12,FALSE),"")</f>
        <v/>
      </c>
      <c r="G190" t="str">
        <f>IFERROR(VLOOKUP($A190,'Consolidate List'!$A$2:$P$1048576,11,FALSE),"")</f>
        <v/>
      </c>
      <c r="H190" t="str">
        <f>IFERROR(VLOOKUP($A190,'Consolidate List'!$A$2:$P$1048576,9,FALSE),"")</f>
        <v/>
      </c>
      <c r="I190" t="str">
        <f>IFERROR(VLOOKUP($A190,'Consolidate List'!$A$2:$P$1048576,10,FALSE),"")</f>
        <v/>
      </c>
      <c r="J190" t="str">
        <f>IFERROR(_xlfn.CONCAT((VLOOKUP($A190,'Consolidate List'!$A$2:$P$1048576,5,FALSE)),", ",VLOOKUP($A190,'Consolidate List'!$A$2:$P$1048576,6,FALSE)),"")</f>
        <v/>
      </c>
      <c r="K190" t="str">
        <f>IFERROR(VLOOKUP($A190,'Consolidate List'!$A$2:$P$1048576,17,FALSE),"")</f>
        <v/>
      </c>
    </row>
    <row r="191" spans="1:11" x14ac:dyDescent="0.35">
      <c r="A191" t="str">
        <f>IFERROR(Tableau1[[#This Row],[ID Unique]],"")</f>
        <v/>
      </c>
      <c r="B191" t="str">
        <f>IFERROR(VLOOKUP($A191,'Consolidate List'!$A$2:$P$1048576,15,FALSE),"")</f>
        <v/>
      </c>
      <c r="C191" t="str">
        <f>IFERROR(VLOOKUP($A191,'Consolidate List'!$A$2:$P$1048576,16,FALSE),"")</f>
        <v/>
      </c>
      <c r="D191" t="str">
        <f>IFERROR(VLOOKUP($A191,'Consolidate List'!$A$2:$P$1048576,8,FALSE),"")</f>
        <v/>
      </c>
      <c r="F191" t="str">
        <f>IFERROR(VLOOKUP($A191,'Consolidate List'!$A$2:$P$1048576,12,FALSE),"")</f>
        <v/>
      </c>
      <c r="G191" t="str">
        <f>IFERROR(VLOOKUP($A191,'Consolidate List'!$A$2:$P$1048576,11,FALSE),"")</f>
        <v/>
      </c>
      <c r="H191" t="str">
        <f>IFERROR(VLOOKUP($A191,'Consolidate List'!$A$2:$P$1048576,9,FALSE),"")</f>
        <v/>
      </c>
      <c r="I191" t="str">
        <f>IFERROR(VLOOKUP($A191,'Consolidate List'!$A$2:$P$1048576,10,FALSE),"")</f>
        <v/>
      </c>
      <c r="J191" t="str">
        <f>IFERROR(_xlfn.CONCAT((VLOOKUP($A191,'Consolidate List'!$A$2:$P$1048576,5,FALSE)),", ",VLOOKUP($A191,'Consolidate List'!$A$2:$P$1048576,6,FALSE)),"")</f>
        <v/>
      </c>
      <c r="K191" t="str">
        <f>IFERROR(VLOOKUP($A191,'Consolidate List'!$A$2:$P$1048576,17,FALSE),"")</f>
        <v/>
      </c>
    </row>
    <row r="192" spans="1:11" x14ac:dyDescent="0.35">
      <c r="A192" t="str">
        <f>IFERROR(Tableau1[[#This Row],[ID Unique]],"")</f>
        <v/>
      </c>
      <c r="B192" t="str">
        <f>IFERROR(VLOOKUP($A192,'Consolidate List'!$A$2:$P$1048576,15,FALSE),"")</f>
        <v/>
      </c>
      <c r="C192" t="str">
        <f>IFERROR(VLOOKUP($A192,'Consolidate List'!$A$2:$P$1048576,16,FALSE),"")</f>
        <v/>
      </c>
      <c r="D192" t="str">
        <f>IFERROR(VLOOKUP($A192,'Consolidate List'!$A$2:$P$1048576,8,FALSE),"")</f>
        <v/>
      </c>
      <c r="F192" t="str">
        <f>IFERROR(VLOOKUP($A192,'Consolidate List'!$A$2:$P$1048576,12,FALSE),"")</f>
        <v/>
      </c>
      <c r="G192" t="str">
        <f>IFERROR(VLOOKUP($A192,'Consolidate List'!$A$2:$P$1048576,11,FALSE),"")</f>
        <v/>
      </c>
      <c r="H192" t="str">
        <f>IFERROR(VLOOKUP($A192,'Consolidate List'!$A$2:$P$1048576,9,FALSE),"")</f>
        <v/>
      </c>
      <c r="I192" t="str">
        <f>IFERROR(VLOOKUP($A192,'Consolidate List'!$A$2:$P$1048576,10,FALSE),"")</f>
        <v/>
      </c>
      <c r="J192" t="str">
        <f>IFERROR(_xlfn.CONCAT((VLOOKUP($A192,'Consolidate List'!$A$2:$P$1048576,5,FALSE)),", ",VLOOKUP($A192,'Consolidate List'!$A$2:$P$1048576,6,FALSE)),"")</f>
        <v/>
      </c>
      <c r="K192" t="str">
        <f>IFERROR(VLOOKUP($A192,'Consolidate List'!$A$2:$P$1048576,17,FALSE),"")</f>
        <v/>
      </c>
    </row>
    <row r="193" spans="1:11" x14ac:dyDescent="0.35">
      <c r="A193" t="str">
        <f>IFERROR(Tableau1[[#This Row],[ID Unique]],"")</f>
        <v/>
      </c>
      <c r="B193" t="str">
        <f>IFERROR(VLOOKUP($A193,'Consolidate List'!$A$2:$P$1048576,15,FALSE),"")</f>
        <v/>
      </c>
      <c r="C193" t="str">
        <f>IFERROR(VLOOKUP($A193,'Consolidate List'!$A$2:$P$1048576,16,FALSE),"")</f>
        <v/>
      </c>
      <c r="D193" t="str">
        <f>IFERROR(VLOOKUP($A193,'Consolidate List'!$A$2:$P$1048576,8,FALSE),"")</f>
        <v/>
      </c>
      <c r="F193" t="str">
        <f>IFERROR(VLOOKUP($A193,'Consolidate List'!$A$2:$P$1048576,12,FALSE),"")</f>
        <v/>
      </c>
      <c r="G193" t="str">
        <f>IFERROR(VLOOKUP($A193,'Consolidate List'!$A$2:$P$1048576,11,FALSE),"")</f>
        <v/>
      </c>
      <c r="H193" t="str">
        <f>IFERROR(VLOOKUP($A193,'Consolidate List'!$A$2:$P$1048576,9,FALSE),"")</f>
        <v/>
      </c>
      <c r="I193" t="str">
        <f>IFERROR(VLOOKUP($A193,'Consolidate List'!$A$2:$P$1048576,10,FALSE),"")</f>
        <v/>
      </c>
      <c r="J193" t="str">
        <f>IFERROR(_xlfn.CONCAT((VLOOKUP($A193,'Consolidate List'!$A$2:$P$1048576,5,FALSE)),", ",VLOOKUP($A193,'Consolidate List'!$A$2:$P$1048576,6,FALSE)),"")</f>
        <v/>
      </c>
      <c r="K193" t="str">
        <f>IFERROR(VLOOKUP($A193,'Consolidate List'!$A$2:$P$1048576,17,FALSE),"")</f>
        <v/>
      </c>
    </row>
    <row r="194" spans="1:11" x14ac:dyDescent="0.35">
      <c r="A194" t="str">
        <f>IFERROR(Tableau1[[#This Row],[ID Unique]],"")</f>
        <v/>
      </c>
      <c r="B194" t="str">
        <f>IFERROR(VLOOKUP($A194,'Consolidate List'!$A$2:$P$1048576,15,FALSE),"")</f>
        <v/>
      </c>
      <c r="C194" t="str">
        <f>IFERROR(VLOOKUP($A194,'Consolidate List'!$A$2:$P$1048576,16,FALSE),"")</f>
        <v/>
      </c>
      <c r="D194" t="str">
        <f>IFERROR(VLOOKUP($A194,'Consolidate List'!$A$2:$P$1048576,8,FALSE),"")</f>
        <v/>
      </c>
      <c r="F194" t="str">
        <f>IFERROR(VLOOKUP($A194,'Consolidate List'!$A$2:$P$1048576,12,FALSE),"")</f>
        <v/>
      </c>
      <c r="G194" t="str">
        <f>IFERROR(VLOOKUP($A194,'Consolidate List'!$A$2:$P$1048576,11,FALSE),"")</f>
        <v/>
      </c>
      <c r="H194" t="str">
        <f>IFERROR(VLOOKUP($A194,'Consolidate List'!$A$2:$P$1048576,9,FALSE),"")</f>
        <v/>
      </c>
      <c r="I194" t="str">
        <f>IFERROR(VLOOKUP($A194,'Consolidate List'!$A$2:$P$1048576,10,FALSE),"")</f>
        <v/>
      </c>
      <c r="J194" t="str">
        <f>IFERROR(_xlfn.CONCAT((VLOOKUP($A194,'Consolidate List'!$A$2:$P$1048576,5,FALSE)),", ",VLOOKUP($A194,'Consolidate List'!$A$2:$P$1048576,6,FALSE)),"")</f>
        <v/>
      </c>
      <c r="K194" t="str">
        <f>IFERROR(VLOOKUP($A194,'Consolidate List'!$A$2:$P$1048576,17,FALSE),"")</f>
        <v/>
      </c>
    </row>
    <row r="195" spans="1:11" x14ac:dyDescent="0.35">
      <c r="A195" t="str">
        <f>IFERROR(Tableau1[[#This Row],[ID Unique]],"")</f>
        <v/>
      </c>
      <c r="B195" t="str">
        <f>IFERROR(VLOOKUP($A195,'Consolidate List'!$A$2:$P$1048576,15,FALSE),"")</f>
        <v/>
      </c>
      <c r="C195" t="str">
        <f>IFERROR(VLOOKUP($A195,'Consolidate List'!$A$2:$P$1048576,16,FALSE),"")</f>
        <v/>
      </c>
      <c r="D195" t="str">
        <f>IFERROR(VLOOKUP($A195,'Consolidate List'!$A$2:$P$1048576,8,FALSE),"")</f>
        <v/>
      </c>
      <c r="F195" t="str">
        <f>IFERROR(VLOOKUP($A195,'Consolidate List'!$A$2:$P$1048576,12,FALSE),"")</f>
        <v/>
      </c>
      <c r="G195" t="str">
        <f>IFERROR(VLOOKUP($A195,'Consolidate List'!$A$2:$P$1048576,11,FALSE),"")</f>
        <v/>
      </c>
      <c r="H195" t="str">
        <f>IFERROR(VLOOKUP($A195,'Consolidate List'!$A$2:$P$1048576,9,FALSE),"")</f>
        <v/>
      </c>
      <c r="I195" t="str">
        <f>IFERROR(VLOOKUP($A195,'Consolidate List'!$A$2:$P$1048576,10,FALSE),"")</f>
        <v/>
      </c>
      <c r="J195" t="str">
        <f>IFERROR(_xlfn.CONCAT((VLOOKUP($A195,'Consolidate List'!$A$2:$P$1048576,5,FALSE)),", ",VLOOKUP($A195,'Consolidate List'!$A$2:$P$1048576,6,FALSE)),"")</f>
        <v/>
      </c>
      <c r="K195" t="str">
        <f>IFERROR(VLOOKUP($A195,'Consolidate List'!$A$2:$P$1048576,17,FALSE),"")</f>
        <v/>
      </c>
    </row>
    <row r="196" spans="1:11" x14ac:dyDescent="0.35">
      <c r="A196" t="str">
        <f>IFERROR(Tableau1[[#This Row],[ID Unique]],"")</f>
        <v/>
      </c>
      <c r="B196" t="str">
        <f>IFERROR(VLOOKUP($A196,'Consolidate List'!$A$2:$P$1048576,15,FALSE),"")</f>
        <v/>
      </c>
      <c r="C196" t="str">
        <f>IFERROR(VLOOKUP($A196,'Consolidate List'!$A$2:$P$1048576,16,FALSE),"")</f>
        <v/>
      </c>
      <c r="D196" t="str">
        <f>IFERROR(VLOOKUP($A196,'Consolidate List'!$A$2:$P$1048576,8,FALSE),"")</f>
        <v/>
      </c>
      <c r="F196" t="str">
        <f>IFERROR(VLOOKUP($A196,'Consolidate List'!$A$2:$P$1048576,12,FALSE),"")</f>
        <v/>
      </c>
      <c r="G196" t="str">
        <f>IFERROR(VLOOKUP($A196,'Consolidate List'!$A$2:$P$1048576,11,FALSE),"")</f>
        <v/>
      </c>
      <c r="H196" t="str">
        <f>IFERROR(VLOOKUP($A196,'Consolidate List'!$A$2:$P$1048576,9,FALSE),"")</f>
        <v/>
      </c>
      <c r="I196" t="str">
        <f>IFERROR(VLOOKUP($A196,'Consolidate List'!$A$2:$P$1048576,10,FALSE),"")</f>
        <v/>
      </c>
      <c r="J196" t="str">
        <f>IFERROR(_xlfn.CONCAT((VLOOKUP($A196,'Consolidate List'!$A$2:$P$1048576,5,FALSE)),", ",VLOOKUP($A196,'Consolidate List'!$A$2:$P$1048576,6,FALSE)),"")</f>
        <v/>
      </c>
      <c r="K196" t="str">
        <f>IFERROR(VLOOKUP($A196,'Consolidate List'!$A$2:$P$1048576,17,FALSE),"")</f>
        <v/>
      </c>
    </row>
    <row r="197" spans="1:11" x14ac:dyDescent="0.35">
      <c r="A197" t="str">
        <f>IFERROR(Tableau1[[#This Row],[ID Unique]],"")</f>
        <v/>
      </c>
      <c r="B197" t="str">
        <f>IFERROR(VLOOKUP($A197,'Consolidate List'!$A$2:$P$1048576,15,FALSE),"")</f>
        <v/>
      </c>
      <c r="C197" t="str">
        <f>IFERROR(VLOOKUP($A197,'Consolidate List'!$A$2:$P$1048576,16,FALSE),"")</f>
        <v/>
      </c>
      <c r="D197" t="str">
        <f>IFERROR(VLOOKUP($A197,'Consolidate List'!$A$2:$P$1048576,8,FALSE),"")</f>
        <v/>
      </c>
      <c r="F197" t="str">
        <f>IFERROR(VLOOKUP($A197,'Consolidate List'!$A$2:$P$1048576,12,FALSE),"")</f>
        <v/>
      </c>
      <c r="G197" t="str">
        <f>IFERROR(VLOOKUP($A197,'Consolidate List'!$A$2:$P$1048576,11,FALSE),"")</f>
        <v/>
      </c>
      <c r="H197" t="str">
        <f>IFERROR(VLOOKUP($A197,'Consolidate List'!$A$2:$P$1048576,9,FALSE),"")</f>
        <v/>
      </c>
      <c r="I197" t="str">
        <f>IFERROR(VLOOKUP($A197,'Consolidate List'!$A$2:$P$1048576,10,FALSE),"")</f>
        <v/>
      </c>
      <c r="J197" t="str">
        <f>IFERROR(_xlfn.CONCAT((VLOOKUP($A197,'Consolidate List'!$A$2:$P$1048576,5,FALSE)),", ",VLOOKUP($A197,'Consolidate List'!$A$2:$P$1048576,6,FALSE)),"")</f>
        <v/>
      </c>
      <c r="K197" t="str">
        <f>IFERROR(VLOOKUP($A197,'Consolidate List'!$A$2:$P$1048576,17,FALSE),"")</f>
        <v/>
      </c>
    </row>
    <row r="198" spans="1:11" x14ac:dyDescent="0.35">
      <c r="A198" t="str">
        <f>IFERROR(Tableau1[[#This Row],[ID Unique]],"")</f>
        <v/>
      </c>
      <c r="B198" t="str">
        <f>IFERROR(VLOOKUP($A198,'Consolidate List'!$A$2:$P$1048576,15,FALSE),"")</f>
        <v/>
      </c>
      <c r="C198" t="str">
        <f>IFERROR(VLOOKUP($A198,'Consolidate List'!$A$2:$P$1048576,16,FALSE),"")</f>
        <v/>
      </c>
      <c r="D198" t="str">
        <f>IFERROR(VLOOKUP($A198,'Consolidate List'!$A$2:$P$1048576,8,FALSE),"")</f>
        <v/>
      </c>
      <c r="F198" t="str">
        <f>IFERROR(VLOOKUP($A198,'Consolidate List'!$A$2:$P$1048576,12,FALSE),"")</f>
        <v/>
      </c>
      <c r="G198" t="str">
        <f>IFERROR(VLOOKUP($A198,'Consolidate List'!$A$2:$P$1048576,11,FALSE),"")</f>
        <v/>
      </c>
      <c r="H198" t="str">
        <f>IFERROR(VLOOKUP($A198,'Consolidate List'!$A$2:$P$1048576,9,FALSE),"")</f>
        <v/>
      </c>
      <c r="I198" t="str">
        <f>IFERROR(VLOOKUP($A198,'Consolidate List'!$A$2:$P$1048576,10,FALSE),"")</f>
        <v/>
      </c>
      <c r="J198" t="str">
        <f>IFERROR(_xlfn.CONCAT((VLOOKUP($A198,'Consolidate List'!$A$2:$P$1048576,5,FALSE)),", ",VLOOKUP($A198,'Consolidate List'!$A$2:$P$1048576,6,FALSE)),"")</f>
        <v/>
      </c>
      <c r="K198" t="str">
        <f>IFERROR(VLOOKUP($A198,'Consolidate List'!$A$2:$P$1048576,17,FALSE),"")</f>
        <v/>
      </c>
    </row>
    <row r="199" spans="1:11" x14ac:dyDescent="0.35">
      <c r="A199" t="str">
        <f>IFERROR(Tableau1[[#This Row],[ID Unique]],"")</f>
        <v/>
      </c>
      <c r="B199" t="str">
        <f>IFERROR(VLOOKUP($A199,'Consolidate List'!$A$2:$P$1048576,15,FALSE),"")</f>
        <v/>
      </c>
      <c r="C199" t="str">
        <f>IFERROR(VLOOKUP($A199,'Consolidate List'!$A$2:$P$1048576,16,FALSE),"")</f>
        <v/>
      </c>
      <c r="D199" t="str">
        <f>IFERROR(VLOOKUP($A199,'Consolidate List'!$A$2:$P$1048576,8,FALSE),"")</f>
        <v/>
      </c>
      <c r="F199" t="str">
        <f>IFERROR(VLOOKUP($A199,'Consolidate List'!$A$2:$P$1048576,12,FALSE),"")</f>
        <v/>
      </c>
      <c r="G199" t="str">
        <f>IFERROR(VLOOKUP($A199,'Consolidate List'!$A$2:$P$1048576,11,FALSE),"")</f>
        <v/>
      </c>
      <c r="H199" t="str">
        <f>IFERROR(VLOOKUP($A199,'Consolidate List'!$A$2:$P$1048576,9,FALSE),"")</f>
        <v/>
      </c>
      <c r="I199" t="str">
        <f>IFERROR(VLOOKUP($A199,'Consolidate List'!$A$2:$P$1048576,10,FALSE),"")</f>
        <v/>
      </c>
      <c r="J199" t="str">
        <f>IFERROR(_xlfn.CONCAT((VLOOKUP($A199,'Consolidate List'!$A$2:$P$1048576,5,FALSE)),", ",VLOOKUP($A199,'Consolidate List'!$A$2:$P$1048576,6,FALSE)),"")</f>
        <v/>
      </c>
      <c r="K199" t="str">
        <f>IFERROR(VLOOKUP($A199,'Consolidate List'!$A$2:$P$1048576,17,FALSE),"")</f>
        <v/>
      </c>
    </row>
    <row r="200" spans="1:11" x14ac:dyDescent="0.35">
      <c r="A200" t="str">
        <f>IFERROR(Tableau1[[#This Row],[ID Unique]],"")</f>
        <v/>
      </c>
      <c r="B200" t="str">
        <f>IFERROR(VLOOKUP($A200,'Consolidate List'!$A$2:$P$1048576,15,FALSE),"")</f>
        <v/>
      </c>
      <c r="C200" t="str">
        <f>IFERROR(VLOOKUP($A200,'Consolidate List'!$A$2:$P$1048576,16,FALSE),"")</f>
        <v/>
      </c>
      <c r="D200" t="str">
        <f>IFERROR(VLOOKUP($A200,'Consolidate List'!$A$2:$P$1048576,8,FALSE),"")</f>
        <v/>
      </c>
      <c r="F200" t="str">
        <f>IFERROR(VLOOKUP($A200,'Consolidate List'!$A$2:$P$1048576,12,FALSE),"")</f>
        <v/>
      </c>
      <c r="G200" t="str">
        <f>IFERROR(VLOOKUP($A200,'Consolidate List'!$A$2:$P$1048576,11,FALSE),"")</f>
        <v/>
      </c>
      <c r="H200" t="str">
        <f>IFERROR(VLOOKUP($A200,'Consolidate List'!$A$2:$P$1048576,9,FALSE),"")</f>
        <v/>
      </c>
      <c r="I200" t="str">
        <f>IFERROR(VLOOKUP($A200,'Consolidate List'!$A$2:$P$1048576,10,FALSE),"")</f>
        <v/>
      </c>
      <c r="J200" t="str">
        <f>IFERROR(_xlfn.CONCAT((VLOOKUP($A200,'Consolidate List'!$A$2:$P$1048576,5,FALSE)),", ",VLOOKUP($A200,'Consolidate List'!$A$2:$P$1048576,6,FALSE)),"")</f>
        <v/>
      </c>
      <c r="K200" t="str">
        <f>IFERROR(VLOOKUP($A200,'Consolidate List'!$A$2:$P$1048576,17,FALSE),"")</f>
        <v/>
      </c>
    </row>
    <row r="201" spans="1:11" x14ac:dyDescent="0.35">
      <c r="A201" t="str">
        <f>IFERROR(Tableau1[[#This Row],[ID Unique]],"")</f>
        <v/>
      </c>
      <c r="B201" t="str">
        <f>IFERROR(VLOOKUP($A201,'Consolidate List'!$A$2:$P$1048576,15,FALSE),"")</f>
        <v/>
      </c>
      <c r="C201" t="str">
        <f>IFERROR(VLOOKUP($A201,'Consolidate List'!$A$2:$P$1048576,16,FALSE),"")</f>
        <v/>
      </c>
      <c r="D201" t="str">
        <f>IFERROR(VLOOKUP($A201,'Consolidate List'!$A$2:$P$1048576,8,FALSE),"")</f>
        <v/>
      </c>
      <c r="F201" t="str">
        <f>IFERROR(VLOOKUP($A201,'Consolidate List'!$A$2:$P$1048576,12,FALSE),"")</f>
        <v/>
      </c>
      <c r="G201" t="str">
        <f>IFERROR(VLOOKUP($A201,'Consolidate List'!$A$2:$P$1048576,11,FALSE),"")</f>
        <v/>
      </c>
      <c r="H201" t="str">
        <f>IFERROR(VLOOKUP($A201,'Consolidate List'!$A$2:$P$1048576,9,FALSE),"")</f>
        <v/>
      </c>
      <c r="I201" t="str">
        <f>IFERROR(VLOOKUP($A201,'Consolidate List'!$A$2:$P$1048576,10,FALSE),"")</f>
        <v/>
      </c>
      <c r="J201" t="str">
        <f>IFERROR(_xlfn.CONCAT((VLOOKUP($A201,'Consolidate List'!$A$2:$P$1048576,5,FALSE)),", ",VLOOKUP($A201,'Consolidate List'!$A$2:$P$1048576,6,FALSE)),"")</f>
        <v/>
      </c>
      <c r="K201" t="str">
        <f>IFERROR(VLOOKUP($A201,'Consolidate List'!$A$2:$P$1048576,17,FALSE),"")</f>
        <v/>
      </c>
    </row>
    <row r="202" spans="1:11" x14ac:dyDescent="0.35">
      <c r="A202" t="str">
        <f>IFERROR(Tableau1[[#This Row],[ID Unique]],"")</f>
        <v/>
      </c>
      <c r="B202" t="str">
        <f>IFERROR(VLOOKUP($A202,'Consolidate List'!$A$2:$P$1048576,15,FALSE),"")</f>
        <v/>
      </c>
      <c r="C202" t="str">
        <f>IFERROR(VLOOKUP($A202,'Consolidate List'!$A$2:$P$1048576,16,FALSE),"")</f>
        <v/>
      </c>
      <c r="D202" t="str">
        <f>IFERROR(VLOOKUP($A202,'Consolidate List'!$A$2:$P$1048576,8,FALSE),"")</f>
        <v/>
      </c>
      <c r="F202" t="str">
        <f>IFERROR(VLOOKUP($A202,'Consolidate List'!$A$2:$P$1048576,12,FALSE),"")</f>
        <v/>
      </c>
      <c r="G202" t="str">
        <f>IFERROR(VLOOKUP($A202,'Consolidate List'!$A$2:$P$1048576,11,FALSE),"")</f>
        <v/>
      </c>
      <c r="H202" t="str">
        <f>IFERROR(VLOOKUP($A202,'Consolidate List'!$A$2:$P$1048576,9,FALSE),"")</f>
        <v/>
      </c>
      <c r="I202" t="str">
        <f>IFERROR(VLOOKUP($A202,'Consolidate List'!$A$2:$P$1048576,10,FALSE),"")</f>
        <v/>
      </c>
      <c r="J202" t="str">
        <f>IFERROR(_xlfn.CONCAT((VLOOKUP($A202,'Consolidate List'!$A$2:$P$1048576,5,FALSE)),", ",VLOOKUP($A202,'Consolidate List'!$A$2:$P$1048576,6,FALSE)),"")</f>
        <v/>
      </c>
      <c r="K202" t="str">
        <f>IFERROR(VLOOKUP($A202,'Consolidate List'!$A$2:$P$1048576,17,FALSE),"")</f>
        <v/>
      </c>
    </row>
    <row r="203" spans="1:11" x14ac:dyDescent="0.35">
      <c r="A203" t="str">
        <f>IFERROR(Tableau1[[#This Row],[ID Unique]],"")</f>
        <v/>
      </c>
      <c r="B203" t="str">
        <f>IFERROR(VLOOKUP($A203,'Consolidate List'!$A$2:$P$1048576,15,FALSE),"")</f>
        <v/>
      </c>
      <c r="C203" t="str">
        <f>IFERROR(VLOOKUP($A203,'Consolidate List'!$A$2:$P$1048576,16,FALSE),"")</f>
        <v/>
      </c>
      <c r="D203" t="str">
        <f>IFERROR(VLOOKUP($A203,'Consolidate List'!$A$2:$P$1048576,8,FALSE),"")</f>
        <v/>
      </c>
      <c r="F203" t="str">
        <f>IFERROR(VLOOKUP($A203,'Consolidate List'!$A$2:$P$1048576,12,FALSE),"")</f>
        <v/>
      </c>
      <c r="G203" t="str">
        <f>IFERROR(VLOOKUP($A203,'Consolidate List'!$A$2:$P$1048576,11,FALSE),"")</f>
        <v/>
      </c>
      <c r="H203" t="str">
        <f>IFERROR(VLOOKUP($A203,'Consolidate List'!$A$2:$P$1048576,9,FALSE),"")</f>
        <v/>
      </c>
      <c r="I203" t="str">
        <f>IFERROR(VLOOKUP($A203,'Consolidate List'!$A$2:$P$1048576,10,FALSE),"")</f>
        <v/>
      </c>
      <c r="J203" t="str">
        <f>IFERROR(_xlfn.CONCAT((VLOOKUP($A203,'Consolidate List'!$A$2:$P$1048576,5,FALSE)),", ",VLOOKUP($A203,'Consolidate List'!$A$2:$P$1048576,6,FALSE)),"")</f>
        <v/>
      </c>
      <c r="K203" t="str">
        <f>IFERROR(VLOOKUP($A203,'Consolidate List'!$A$2:$P$1048576,17,FALSE),"")</f>
        <v/>
      </c>
    </row>
    <row r="204" spans="1:11" x14ac:dyDescent="0.35">
      <c r="A204" t="str">
        <f>IFERROR(Tableau1[[#This Row],[ID Unique]],"")</f>
        <v/>
      </c>
      <c r="B204" t="str">
        <f>IFERROR(VLOOKUP($A204,'Consolidate List'!$A$2:$P$1048576,15,FALSE),"")</f>
        <v/>
      </c>
      <c r="C204" t="str">
        <f>IFERROR(VLOOKUP($A204,'Consolidate List'!$A$2:$P$1048576,16,FALSE),"")</f>
        <v/>
      </c>
      <c r="D204" t="str">
        <f>IFERROR(VLOOKUP($A204,'Consolidate List'!$A$2:$P$1048576,8,FALSE),"")</f>
        <v/>
      </c>
      <c r="F204" t="str">
        <f>IFERROR(VLOOKUP($A204,'Consolidate List'!$A$2:$P$1048576,12,FALSE),"")</f>
        <v/>
      </c>
      <c r="G204" t="str">
        <f>IFERROR(VLOOKUP($A204,'Consolidate List'!$A$2:$P$1048576,11,FALSE),"")</f>
        <v/>
      </c>
      <c r="H204" t="str">
        <f>IFERROR(VLOOKUP($A204,'Consolidate List'!$A$2:$P$1048576,9,FALSE),"")</f>
        <v/>
      </c>
      <c r="I204" t="str">
        <f>IFERROR(VLOOKUP($A204,'Consolidate List'!$A$2:$P$1048576,10,FALSE),"")</f>
        <v/>
      </c>
      <c r="J204" t="str">
        <f>IFERROR(_xlfn.CONCAT((VLOOKUP($A204,'Consolidate List'!$A$2:$P$1048576,5,FALSE)),", ",VLOOKUP($A204,'Consolidate List'!$A$2:$P$1048576,6,FALSE)),"")</f>
        <v/>
      </c>
      <c r="K204" t="str">
        <f>IFERROR(VLOOKUP($A204,'Consolidate List'!$A$2:$P$1048576,17,FALSE),"")</f>
        <v/>
      </c>
    </row>
    <row r="205" spans="1:11" x14ac:dyDescent="0.35">
      <c r="A205" t="str">
        <f>IFERROR(Tableau1[[#This Row],[ID Unique]],"")</f>
        <v/>
      </c>
      <c r="B205" t="str">
        <f>IFERROR(VLOOKUP($A205,'Consolidate List'!$A$2:$P$1048576,15,FALSE),"")</f>
        <v/>
      </c>
      <c r="C205" t="str">
        <f>IFERROR(VLOOKUP($A205,'Consolidate List'!$A$2:$P$1048576,16,FALSE),"")</f>
        <v/>
      </c>
      <c r="D205" t="str">
        <f>IFERROR(VLOOKUP($A205,'Consolidate List'!$A$2:$P$1048576,8,FALSE),"")</f>
        <v/>
      </c>
      <c r="F205" t="str">
        <f>IFERROR(VLOOKUP($A205,'Consolidate List'!$A$2:$P$1048576,12,FALSE),"")</f>
        <v/>
      </c>
      <c r="G205" t="str">
        <f>IFERROR(VLOOKUP($A205,'Consolidate List'!$A$2:$P$1048576,11,FALSE),"")</f>
        <v/>
      </c>
      <c r="H205" t="str">
        <f>IFERROR(VLOOKUP($A205,'Consolidate List'!$A$2:$P$1048576,9,FALSE),"")</f>
        <v/>
      </c>
      <c r="I205" t="str">
        <f>IFERROR(VLOOKUP($A205,'Consolidate List'!$A$2:$P$1048576,10,FALSE),"")</f>
        <v/>
      </c>
      <c r="J205" t="str">
        <f>IFERROR(_xlfn.CONCAT((VLOOKUP($A205,'Consolidate List'!$A$2:$P$1048576,5,FALSE)),", ",VLOOKUP($A205,'Consolidate List'!$A$2:$P$1048576,6,FALSE)),"")</f>
        <v/>
      </c>
      <c r="K205" t="str">
        <f>IFERROR(VLOOKUP($A205,'Consolidate List'!$A$2:$P$1048576,17,FALSE),"")</f>
        <v/>
      </c>
    </row>
    <row r="206" spans="1:11" x14ac:dyDescent="0.35">
      <c r="A206" t="str">
        <f>IFERROR(Tableau1[[#This Row],[ID Unique]],"")</f>
        <v/>
      </c>
      <c r="B206" t="str">
        <f>IFERROR(VLOOKUP($A206,'Consolidate List'!$A$2:$P$1048576,15,FALSE),"")</f>
        <v/>
      </c>
      <c r="C206" t="str">
        <f>IFERROR(VLOOKUP($A206,'Consolidate List'!$A$2:$P$1048576,16,FALSE),"")</f>
        <v/>
      </c>
      <c r="D206" t="str">
        <f>IFERROR(VLOOKUP($A206,'Consolidate List'!$A$2:$P$1048576,8,FALSE),"")</f>
        <v/>
      </c>
      <c r="F206" t="str">
        <f>IFERROR(VLOOKUP($A206,'Consolidate List'!$A$2:$P$1048576,12,FALSE),"")</f>
        <v/>
      </c>
      <c r="G206" t="str">
        <f>IFERROR(VLOOKUP($A206,'Consolidate List'!$A$2:$P$1048576,11,FALSE),"")</f>
        <v/>
      </c>
      <c r="H206" t="str">
        <f>IFERROR(VLOOKUP($A206,'Consolidate List'!$A$2:$P$1048576,9,FALSE),"")</f>
        <v/>
      </c>
      <c r="I206" t="str">
        <f>IFERROR(VLOOKUP($A206,'Consolidate List'!$A$2:$P$1048576,10,FALSE),"")</f>
        <v/>
      </c>
      <c r="J206" t="str">
        <f>IFERROR(_xlfn.CONCAT((VLOOKUP($A206,'Consolidate List'!$A$2:$P$1048576,5,FALSE)),", ",VLOOKUP($A206,'Consolidate List'!$A$2:$P$1048576,6,FALSE)),"")</f>
        <v/>
      </c>
      <c r="K206" t="str">
        <f>IFERROR(VLOOKUP($A206,'Consolidate List'!$A$2:$P$1048576,17,FALSE),"")</f>
        <v/>
      </c>
    </row>
    <row r="207" spans="1:11" x14ac:dyDescent="0.35">
      <c r="A207" t="str">
        <f>IFERROR(Tableau1[[#This Row],[ID Unique]],"")</f>
        <v/>
      </c>
      <c r="B207" t="str">
        <f>IFERROR(VLOOKUP($A207,'Consolidate List'!$A$2:$P$1048576,15,FALSE),"")</f>
        <v/>
      </c>
      <c r="C207" t="str">
        <f>IFERROR(VLOOKUP($A207,'Consolidate List'!$A$2:$P$1048576,16,FALSE),"")</f>
        <v/>
      </c>
      <c r="D207" t="str">
        <f>IFERROR(VLOOKUP($A207,'Consolidate List'!$A$2:$P$1048576,8,FALSE),"")</f>
        <v/>
      </c>
      <c r="F207" t="str">
        <f>IFERROR(VLOOKUP($A207,'Consolidate List'!$A$2:$P$1048576,12,FALSE),"")</f>
        <v/>
      </c>
      <c r="G207" t="str">
        <f>IFERROR(VLOOKUP($A207,'Consolidate List'!$A$2:$P$1048576,11,FALSE),"")</f>
        <v/>
      </c>
      <c r="H207" t="str">
        <f>IFERROR(VLOOKUP($A207,'Consolidate List'!$A$2:$P$1048576,9,FALSE),"")</f>
        <v/>
      </c>
      <c r="I207" t="str">
        <f>IFERROR(VLOOKUP($A207,'Consolidate List'!$A$2:$P$1048576,10,FALSE),"")</f>
        <v/>
      </c>
      <c r="J207" t="str">
        <f>IFERROR(_xlfn.CONCAT((VLOOKUP($A207,'Consolidate List'!$A$2:$P$1048576,5,FALSE)),", ",VLOOKUP($A207,'Consolidate List'!$A$2:$P$1048576,6,FALSE)),"")</f>
        <v/>
      </c>
      <c r="K207" t="str">
        <f>IFERROR(VLOOKUP($A207,'Consolidate List'!$A$2:$P$1048576,17,FALSE),"")</f>
        <v/>
      </c>
    </row>
    <row r="208" spans="1:11" x14ac:dyDescent="0.35">
      <c r="A208" t="str">
        <f>IFERROR(Tableau1[[#This Row],[ID Unique]],"")</f>
        <v/>
      </c>
      <c r="B208" t="str">
        <f>IFERROR(VLOOKUP($A208,'Consolidate List'!$A$2:$P$1048576,15,FALSE),"")</f>
        <v/>
      </c>
      <c r="C208" t="str">
        <f>IFERROR(VLOOKUP($A208,'Consolidate List'!$A$2:$P$1048576,16,FALSE),"")</f>
        <v/>
      </c>
      <c r="D208" t="str">
        <f>IFERROR(VLOOKUP($A208,'Consolidate List'!$A$2:$P$1048576,8,FALSE),"")</f>
        <v/>
      </c>
      <c r="F208" t="str">
        <f>IFERROR(VLOOKUP($A208,'Consolidate List'!$A$2:$P$1048576,12,FALSE),"")</f>
        <v/>
      </c>
      <c r="G208" t="str">
        <f>IFERROR(VLOOKUP($A208,'Consolidate List'!$A$2:$P$1048576,11,FALSE),"")</f>
        <v/>
      </c>
      <c r="H208" t="str">
        <f>IFERROR(VLOOKUP($A208,'Consolidate List'!$A$2:$P$1048576,9,FALSE),"")</f>
        <v/>
      </c>
      <c r="I208" t="str">
        <f>IFERROR(VLOOKUP($A208,'Consolidate List'!$A$2:$P$1048576,10,FALSE),"")</f>
        <v/>
      </c>
      <c r="J208" t="str">
        <f>IFERROR(_xlfn.CONCAT((VLOOKUP($A208,'Consolidate List'!$A$2:$P$1048576,5,FALSE)),", ",VLOOKUP($A208,'Consolidate List'!$A$2:$P$1048576,6,FALSE)),"")</f>
        <v/>
      </c>
      <c r="K208" t="str">
        <f>IFERROR(VLOOKUP($A208,'Consolidate List'!$A$2:$P$1048576,17,FALSE),"")</f>
        <v/>
      </c>
    </row>
    <row r="209" spans="1:11" x14ac:dyDescent="0.35">
      <c r="A209" t="str">
        <f>IFERROR(Tableau1[[#This Row],[ID Unique]],"")</f>
        <v/>
      </c>
      <c r="B209" t="str">
        <f>IFERROR(VLOOKUP($A209,'Consolidate List'!$A$2:$P$1048576,15,FALSE),"")</f>
        <v/>
      </c>
      <c r="C209" t="str">
        <f>IFERROR(VLOOKUP($A209,'Consolidate List'!$A$2:$P$1048576,16,FALSE),"")</f>
        <v/>
      </c>
      <c r="D209" t="str">
        <f>IFERROR(VLOOKUP($A209,'Consolidate List'!$A$2:$P$1048576,8,FALSE),"")</f>
        <v/>
      </c>
      <c r="F209" t="str">
        <f>IFERROR(VLOOKUP($A209,'Consolidate List'!$A$2:$P$1048576,12,FALSE),"")</f>
        <v/>
      </c>
      <c r="G209" t="str">
        <f>IFERROR(VLOOKUP($A209,'Consolidate List'!$A$2:$P$1048576,11,FALSE),"")</f>
        <v/>
      </c>
      <c r="H209" t="str">
        <f>IFERROR(VLOOKUP($A209,'Consolidate List'!$A$2:$P$1048576,9,FALSE),"")</f>
        <v/>
      </c>
      <c r="I209" t="str">
        <f>IFERROR(VLOOKUP($A209,'Consolidate List'!$A$2:$P$1048576,10,FALSE),"")</f>
        <v/>
      </c>
      <c r="J209" t="str">
        <f>IFERROR(_xlfn.CONCAT((VLOOKUP($A209,'Consolidate List'!$A$2:$P$1048576,5,FALSE)),", ",VLOOKUP($A209,'Consolidate List'!$A$2:$P$1048576,6,FALSE)),"")</f>
        <v/>
      </c>
      <c r="K209" t="str">
        <f>IFERROR(VLOOKUP($A209,'Consolidate List'!$A$2:$P$1048576,17,FALSE),"")</f>
        <v/>
      </c>
    </row>
    <row r="210" spans="1:11" x14ac:dyDescent="0.35">
      <c r="A210" t="str">
        <f>IFERROR(Tableau1[[#This Row],[ID Unique]],"")</f>
        <v/>
      </c>
      <c r="B210" t="str">
        <f>IFERROR(VLOOKUP($A210,'Consolidate List'!$A$2:$P$1048576,15,FALSE),"")</f>
        <v/>
      </c>
      <c r="C210" t="str">
        <f>IFERROR(VLOOKUP($A210,'Consolidate List'!$A$2:$P$1048576,16,FALSE),"")</f>
        <v/>
      </c>
      <c r="D210" t="str">
        <f>IFERROR(VLOOKUP($A210,'Consolidate List'!$A$2:$P$1048576,8,FALSE),"")</f>
        <v/>
      </c>
      <c r="F210" t="str">
        <f>IFERROR(VLOOKUP($A210,'Consolidate List'!$A$2:$P$1048576,12,FALSE),"")</f>
        <v/>
      </c>
      <c r="G210" t="str">
        <f>IFERROR(VLOOKUP($A210,'Consolidate List'!$A$2:$P$1048576,11,FALSE),"")</f>
        <v/>
      </c>
      <c r="H210" t="str">
        <f>IFERROR(VLOOKUP($A210,'Consolidate List'!$A$2:$P$1048576,9,FALSE),"")</f>
        <v/>
      </c>
      <c r="I210" t="str">
        <f>IFERROR(VLOOKUP($A210,'Consolidate List'!$A$2:$P$1048576,10,FALSE),"")</f>
        <v/>
      </c>
      <c r="J210" t="str">
        <f>IFERROR(_xlfn.CONCAT((VLOOKUP($A210,'Consolidate List'!$A$2:$P$1048576,5,FALSE)),", ",VLOOKUP($A210,'Consolidate List'!$A$2:$P$1048576,6,FALSE)),"")</f>
        <v/>
      </c>
      <c r="K210" t="str">
        <f>IFERROR(VLOOKUP($A210,'Consolidate List'!$A$2:$P$1048576,17,FALSE),"")</f>
        <v/>
      </c>
    </row>
    <row r="211" spans="1:11" x14ac:dyDescent="0.35">
      <c r="A211" t="str">
        <f>IFERROR(Tableau1[[#This Row],[ID Unique]],"")</f>
        <v/>
      </c>
      <c r="B211" t="str">
        <f>IFERROR(VLOOKUP($A211,'Consolidate List'!$A$2:$P$1048576,15,FALSE),"")</f>
        <v/>
      </c>
      <c r="C211" t="str">
        <f>IFERROR(VLOOKUP($A211,'Consolidate List'!$A$2:$P$1048576,16,FALSE),"")</f>
        <v/>
      </c>
      <c r="D211" t="str">
        <f>IFERROR(VLOOKUP($A211,'Consolidate List'!$A$2:$P$1048576,8,FALSE),"")</f>
        <v/>
      </c>
      <c r="F211" t="str">
        <f>IFERROR(VLOOKUP($A211,'Consolidate List'!$A$2:$P$1048576,12,FALSE),"")</f>
        <v/>
      </c>
      <c r="G211" t="str">
        <f>IFERROR(VLOOKUP($A211,'Consolidate List'!$A$2:$P$1048576,11,FALSE),"")</f>
        <v/>
      </c>
      <c r="H211" t="str">
        <f>IFERROR(VLOOKUP($A211,'Consolidate List'!$A$2:$P$1048576,9,FALSE),"")</f>
        <v/>
      </c>
      <c r="I211" t="str">
        <f>IFERROR(VLOOKUP($A211,'Consolidate List'!$A$2:$P$1048576,10,FALSE),"")</f>
        <v/>
      </c>
      <c r="J211" t="str">
        <f>IFERROR(_xlfn.CONCAT((VLOOKUP($A211,'Consolidate List'!$A$2:$P$1048576,5,FALSE)),", ",VLOOKUP($A211,'Consolidate List'!$A$2:$P$1048576,6,FALSE)),"")</f>
        <v/>
      </c>
      <c r="K211" t="str">
        <f>IFERROR(VLOOKUP($A211,'Consolidate List'!$A$2:$P$1048576,17,FALSE),"")</f>
        <v/>
      </c>
    </row>
    <row r="212" spans="1:11" x14ac:dyDescent="0.35">
      <c r="A212" t="str">
        <f>IFERROR(Tableau1[[#This Row],[ID Unique]],"")</f>
        <v/>
      </c>
      <c r="B212" t="str">
        <f>IFERROR(VLOOKUP($A212,'Consolidate List'!$A$2:$P$1048576,15,FALSE),"")</f>
        <v/>
      </c>
      <c r="C212" t="str">
        <f>IFERROR(VLOOKUP($A212,'Consolidate List'!$A$2:$P$1048576,16,FALSE),"")</f>
        <v/>
      </c>
      <c r="D212" t="str">
        <f>IFERROR(VLOOKUP($A212,'Consolidate List'!$A$2:$P$1048576,8,FALSE),"")</f>
        <v/>
      </c>
      <c r="F212" t="str">
        <f>IFERROR(VLOOKUP($A212,'Consolidate List'!$A$2:$P$1048576,12,FALSE),"")</f>
        <v/>
      </c>
      <c r="G212" t="str">
        <f>IFERROR(VLOOKUP($A212,'Consolidate List'!$A$2:$P$1048576,11,FALSE),"")</f>
        <v/>
      </c>
      <c r="H212" t="str">
        <f>IFERROR(VLOOKUP($A212,'Consolidate List'!$A$2:$P$1048576,9,FALSE),"")</f>
        <v/>
      </c>
      <c r="I212" t="str">
        <f>IFERROR(VLOOKUP($A212,'Consolidate List'!$A$2:$P$1048576,10,FALSE),"")</f>
        <v/>
      </c>
      <c r="J212" t="str">
        <f>IFERROR(_xlfn.CONCAT((VLOOKUP($A212,'Consolidate List'!$A$2:$P$1048576,5,FALSE)),", ",VLOOKUP($A212,'Consolidate List'!$A$2:$P$1048576,6,FALSE)),"")</f>
        <v/>
      </c>
      <c r="K212" t="str">
        <f>IFERROR(VLOOKUP($A212,'Consolidate List'!$A$2:$P$1048576,17,FALSE),"")</f>
        <v/>
      </c>
    </row>
    <row r="213" spans="1:11" x14ac:dyDescent="0.35">
      <c r="A213" t="str">
        <f>IFERROR(Tableau1[[#This Row],[ID Unique]],"")</f>
        <v/>
      </c>
      <c r="B213" t="str">
        <f>IFERROR(VLOOKUP($A213,'Consolidate List'!$A$2:$P$1048576,15,FALSE),"")</f>
        <v/>
      </c>
      <c r="C213" t="str">
        <f>IFERROR(VLOOKUP($A213,'Consolidate List'!$A$2:$P$1048576,16,FALSE),"")</f>
        <v/>
      </c>
      <c r="D213" t="str">
        <f>IFERROR(VLOOKUP($A213,'Consolidate List'!$A$2:$P$1048576,8,FALSE),"")</f>
        <v/>
      </c>
      <c r="F213" t="str">
        <f>IFERROR(VLOOKUP($A213,'Consolidate List'!$A$2:$P$1048576,12,FALSE),"")</f>
        <v/>
      </c>
      <c r="G213" t="str">
        <f>IFERROR(VLOOKUP($A213,'Consolidate List'!$A$2:$P$1048576,11,FALSE),"")</f>
        <v/>
      </c>
      <c r="H213" t="str">
        <f>IFERROR(VLOOKUP($A213,'Consolidate List'!$A$2:$P$1048576,9,FALSE),"")</f>
        <v/>
      </c>
      <c r="I213" t="str">
        <f>IFERROR(VLOOKUP($A213,'Consolidate List'!$A$2:$P$1048576,10,FALSE),"")</f>
        <v/>
      </c>
      <c r="J213" t="str">
        <f>IFERROR(_xlfn.CONCAT((VLOOKUP($A213,'Consolidate List'!$A$2:$P$1048576,5,FALSE)),", ",VLOOKUP($A213,'Consolidate List'!$A$2:$P$1048576,6,FALSE)),"")</f>
        <v/>
      </c>
      <c r="K213" t="str">
        <f>IFERROR(VLOOKUP($A213,'Consolidate List'!$A$2:$P$1048576,17,FALSE),"")</f>
        <v/>
      </c>
    </row>
    <row r="214" spans="1:11" x14ac:dyDescent="0.35">
      <c r="A214" t="str">
        <f>IFERROR(Tableau1[[#This Row],[ID Unique]],"")</f>
        <v/>
      </c>
      <c r="B214" t="str">
        <f>IFERROR(VLOOKUP($A214,'Consolidate List'!$A$2:$P$1048576,15,FALSE),"")</f>
        <v/>
      </c>
      <c r="C214" t="str">
        <f>IFERROR(VLOOKUP($A214,'Consolidate List'!$A$2:$P$1048576,16,FALSE),"")</f>
        <v/>
      </c>
      <c r="D214" t="str">
        <f>IFERROR(VLOOKUP($A214,'Consolidate List'!$A$2:$P$1048576,8,FALSE),"")</f>
        <v/>
      </c>
      <c r="F214" t="str">
        <f>IFERROR(VLOOKUP($A214,'Consolidate List'!$A$2:$P$1048576,12,FALSE),"")</f>
        <v/>
      </c>
      <c r="G214" t="str">
        <f>IFERROR(VLOOKUP($A214,'Consolidate List'!$A$2:$P$1048576,11,FALSE),"")</f>
        <v/>
      </c>
      <c r="H214" t="str">
        <f>IFERROR(VLOOKUP($A214,'Consolidate List'!$A$2:$P$1048576,9,FALSE),"")</f>
        <v/>
      </c>
      <c r="I214" t="str">
        <f>IFERROR(VLOOKUP($A214,'Consolidate List'!$A$2:$P$1048576,10,FALSE),"")</f>
        <v/>
      </c>
      <c r="J214" t="str">
        <f>IFERROR(_xlfn.CONCAT((VLOOKUP($A214,'Consolidate List'!$A$2:$P$1048576,5,FALSE)),", ",VLOOKUP($A214,'Consolidate List'!$A$2:$P$1048576,6,FALSE)),"")</f>
        <v/>
      </c>
      <c r="K214" t="str">
        <f>IFERROR(VLOOKUP($A214,'Consolidate List'!$A$2:$P$1048576,17,FALSE),"")</f>
        <v/>
      </c>
    </row>
    <row r="215" spans="1:11" x14ac:dyDescent="0.35">
      <c r="A215" t="str">
        <f>IFERROR(Tableau1[[#This Row],[ID Unique]],"")</f>
        <v/>
      </c>
      <c r="B215" t="str">
        <f>IFERROR(VLOOKUP($A215,'Consolidate List'!$A$2:$P$1048576,15,FALSE),"")</f>
        <v/>
      </c>
      <c r="C215" t="str">
        <f>IFERROR(VLOOKUP($A215,'Consolidate List'!$A$2:$P$1048576,16,FALSE),"")</f>
        <v/>
      </c>
      <c r="D215" t="str">
        <f>IFERROR(VLOOKUP($A215,'Consolidate List'!$A$2:$P$1048576,8,FALSE),"")</f>
        <v/>
      </c>
      <c r="F215" t="str">
        <f>IFERROR(VLOOKUP($A215,'Consolidate List'!$A$2:$P$1048576,12,FALSE),"")</f>
        <v/>
      </c>
      <c r="G215" t="str">
        <f>IFERROR(VLOOKUP($A215,'Consolidate List'!$A$2:$P$1048576,11,FALSE),"")</f>
        <v/>
      </c>
      <c r="H215" t="str">
        <f>IFERROR(VLOOKUP($A215,'Consolidate List'!$A$2:$P$1048576,9,FALSE),"")</f>
        <v/>
      </c>
      <c r="I215" t="str">
        <f>IFERROR(VLOOKUP($A215,'Consolidate List'!$A$2:$P$1048576,10,FALSE),"")</f>
        <v/>
      </c>
      <c r="J215" t="str">
        <f>IFERROR(_xlfn.CONCAT((VLOOKUP($A215,'Consolidate List'!$A$2:$P$1048576,5,FALSE)),", ",VLOOKUP($A215,'Consolidate List'!$A$2:$P$1048576,6,FALSE)),"")</f>
        <v/>
      </c>
      <c r="K215" t="str">
        <f>IFERROR(VLOOKUP($A215,'Consolidate List'!$A$2:$P$1048576,17,FALSE),"")</f>
        <v/>
      </c>
    </row>
    <row r="216" spans="1:11" x14ac:dyDescent="0.35">
      <c r="A216" t="str">
        <f>IFERROR(Tableau1[[#This Row],[ID Unique]],"")</f>
        <v/>
      </c>
      <c r="B216" t="str">
        <f>IFERROR(VLOOKUP($A216,'Consolidate List'!$A$2:$P$1048576,15,FALSE),"")</f>
        <v/>
      </c>
      <c r="C216" t="str">
        <f>IFERROR(VLOOKUP($A216,'Consolidate List'!$A$2:$P$1048576,16,FALSE),"")</f>
        <v/>
      </c>
      <c r="D216" t="str">
        <f>IFERROR(VLOOKUP($A216,'Consolidate List'!$A$2:$P$1048576,8,FALSE),"")</f>
        <v/>
      </c>
      <c r="F216" t="str">
        <f>IFERROR(VLOOKUP($A216,'Consolidate List'!$A$2:$P$1048576,12,FALSE),"")</f>
        <v/>
      </c>
      <c r="G216" t="str">
        <f>IFERROR(VLOOKUP($A216,'Consolidate List'!$A$2:$P$1048576,11,FALSE),"")</f>
        <v/>
      </c>
      <c r="H216" t="str">
        <f>IFERROR(VLOOKUP($A216,'Consolidate List'!$A$2:$P$1048576,9,FALSE),"")</f>
        <v/>
      </c>
      <c r="I216" t="str">
        <f>IFERROR(VLOOKUP($A216,'Consolidate List'!$A$2:$P$1048576,10,FALSE),"")</f>
        <v/>
      </c>
      <c r="J216" t="str">
        <f>IFERROR(_xlfn.CONCAT((VLOOKUP($A216,'Consolidate List'!$A$2:$P$1048576,5,FALSE)),", ",VLOOKUP($A216,'Consolidate List'!$A$2:$P$1048576,6,FALSE)),"")</f>
        <v/>
      </c>
      <c r="K216" t="str">
        <f>IFERROR(VLOOKUP($A216,'Consolidate List'!$A$2:$P$1048576,17,FALSE),"")</f>
        <v/>
      </c>
    </row>
    <row r="217" spans="1:11" x14ac:dyDescent="0.35">
      <c r="A217" t="str">
        <f>IFERROR(Tableau1[[#This Row],[ID Unique]],"")</f>
        <v/>
      </c>
      <c r="B217" t="str">
        <f>IFERROR(VLOOKUP($A217,'Consolidate List'!$A$2:$P$1048576,15,FALSE),"")</f>
        <v/>
      </c>
      <c r="C217" t="str">
        <f>IFERROR(VLOOKUP($A217,'Consolidate List'!$A$2:$P$1048576,16,FALSE),"")</f>
        <v/>
      </c>
      <c r="D217" t="str">
        <f>IFERROR(VLOOKUP($A217,'Consolidate List'!$A$2:$P$1048576,8,FALSE),"")</f>
        <v/>
      </c>
      <c r="F217" t="str">
        <f>IFERROR(VLOOKUP($A217,'Consolidate List'!$A$2:$P$1048576,12,FALSE),"")</f>
        <v/>
      </c>
      <c r="G217" t="str">
        <f>IFERROR(VLOOKUP($A217,'Consolidate List'!$A$2:$P$1048576,11,FALSE),"")</f>
        <v/>
      </c>
      <c r="H217" t="str">
        <f>IFERROR(VLOOKUP($A217,'Consolidate List'!$A$2:$P$1048576,9,FALSE),"")</f>
        <v/>
      </c>
      <c r="I217" t="str">
        <f>IFERROR(VLOOKUP($A217,'Consolidate List'!$A$2:$P$1048576,10,FALSE),"")</f>
        <v/>
      </c>
      <c r="J217" t="str">
        <f>IFERROR(_xlfn.CONCAT((VLOOKUP($A217,'Consolidate List'!$A$2:$P$1048576,5,FALSE)),", ",VLOOKUP($A217,'Consolidate List'!$A$2:$P$1048576,6,FALSE)),"")</f>
        <v/>
      </c>
      <c r="K217" t="str">
        <f>IFERROR(VLOOKUP($A217,'Consolidate List'!$A$2:$P$1048576,17,FALSE),"")</f>
        <v/>
      </c>
    </row>
    <row r="218" spans="1:11" x14ac:dyDescent="0.35">
      <c r="A218" t="str">
        <f>IFERROR(Tableau1[[#This Row],[ID Unique]],"")</f>
        <v/>
      </c>
      <c r="B218" t="str">
        <f>IFERROR(VLOOKUP($A218,'Consolidate List'!$A$2:$P$1048576,15,FALSE),"")</f>
        <v/>
      </c>
      <c r="C218" t="str">
        <f>IFERROR(VLOOKUP($A218,'Consolidate List'!$A$2:$P$1048576,16,FALSE),"")</f>
        <v/>
      </c>
      <c r="D218" t="str">
        <f>IFERROR(VLOOKUP($A218,'Consolidate List'!$A$2:$P$1048576,8,FALSE),"")</f>
        <v/>
      </c>
      <c r="F218" t="str">
        <f>IFERROR(VLOOKUP($A218,'Consolidate List'!$A$2:$P$1048576,12,FALSE),"")</f>
        <v/>
      </c>
      <c r="G218" t="str">
        <f>IFERROR(VLOOKUP($A218,'Consolidate List'!$A$2:$P$1048576,11,FALSE),"")</f>
        <v/>
      </c>
      <c r="H218" t="str">
        <f>IFERROR(VLOOKUP($A218,'Consolidate List'!$A$2:$P$1048576,9,FALSE),"")</f>
        <v/>
      </c>
      <c r="I218" t="str">
        <f>IFERROR(VLOOKUP($A218,'Consolidate List'!$A$2:$P$1048576,10,FALSE),"")</f>
        <v/>
      </c>
      <c r="J218" t="str">
        <f>IFERROR(_xlfn.CONCAT((VLOOKUP($A218,'Consolidate List'!$A$2:$P$1048576,5,FALSE)),", ",VLOOKUP($A218,'Consolidate List'!$A$2:$P$1048576,6,FALSE)),"")</f>
        <v/>
      </c>
      <c r="K218" t="str">
        <f>IFERROR(VLOOKUP($A218,'Consolidate List'!$A$2:$P$1048576,17,FALSE),"")</f>
        <v/>
      </c>
    </row>
    <row r="219" spans="1:11" x14ac:dyDescent="0.35">
      <c r="A219" t="str">
        <f>IFERROR(Tableau1[[#This Row],[ID Unique]],"")</f>
        <v/>
      </c>
      <c r="B219" t="str">
        <f>IFERROR(VLOOKUP($A219,'Consolidate List'!$A$2:$P$1048576,15,FALSE),"")</f>
        <v/>
      </c>
      <c r="C219" t="str">
        <f>IFERROR(VLOOKUP($A219,'Consolidate List'!$A$2:$P$1048576,16,FALSE),"")</f>
        <v/>
      </c>
      <c r="D219" t="str">
        <f>IFERROR(VLOOKUP($A219,'Consolidate List'!$A$2:$P$1048576,8,FALSE),"")</f>
        <v/>
      </c>
      <c r="F219" t="str">
        <f>IFERROR(VLOOKUP($A219,'Consolidate List'!$A$2:$P$1048576,12,FALSE),"")</f>
        <v/>
      </c>
      <c r="G219" t="str">
        <f>IFERROR(VLOOKUP($A219,'Consolidate List'!$A$2:$P$1048576,11,FALSE),"")</f>
        <v/>
      </c>
      <c r="H219" t="str">
        <f>IFERROR(VLOOKUP($A219,'Consolidate List'!$A$2:$P$1048576,9,FALSE),"")</f>
        <v/>
      </c>
      <c r="I219" t="str">
        <f>IFERROR(VLOOKUP($A219,'Consolidate List'!$A$2:$P$1048576,10,FALSE),"")</f>
        <v/>
      </c>
      <c r="J219" t="str">
        <f>IFERROR(_xlfn.CONCAT((VLOOKUP($A219,'Consolidate List'!$A$2:$P$1048576,5,FALSE)),", ",VLOOKUP($A219,'Consolidate List'!$A$2:$P$1048576,6,FALSE)),"")</f>
        <v/>
      </c>
      <c r="K219" t="str">
        <f>IFERROR(VLOOKUP($A219,'Consolidate List'!$A$2:$P$1048576,17,FALSE),"")</f>
        <v/>
      </c>
    </row>
    <row r="220" spans="1:11" x14ac:dyDescent="0.35">
      <c r="A220" t="str">
        <f>IFERROR(Tableau1[[#This Row],[ID Unique]],"")</f>
        <v/>
      </c>
      <c r="B220" t="str">
        <f>IFERROR(VLOOKUP($A220,'Consolidate List'!$A$2:$P$1048576,15,FALSE),"")</f>
        <v/>
      </c>
      <c r="C220" t="str">
        <f>IFERROR(VLOOKUP($A220,'Consolidate List'!$A$2:$P$1048576,16,FALSE),"")</f>
        <v/>
      </c>
      <c r="D220" t="str">
        <f>IFERROR(VLOOKUP($A220,'Consolidate List'!$A$2:$P$1048576,8,FALSE),"")</f>
        <v/>
      </c>
      <c r="F220" t="str">
        <f>IFERROR(VLOOKUP($A220,'Consolidate List'!$A$2:$P$1048576,12,FALSE),"")</f>
        <v/>
      </c>
      <c r="G220" t="str">
        <f>IFERROR(VLOOKUP($A220,'Consolidate List'!$A$2:$P$1048576,11,FALSE),"")</f>
        <v/>
      </c>
      <c r="H220" t="str">
        <f>IFERROR(VLOOKUP($A220,'Consolidate List'!$A$2:$P$1048576,9,FALSE),"")</f>
        <v/>
      </c>
      <c r="I220" t="str">
        <f>IFERROR(VLOOKUP($A220,'Consolidate List'!$A$2:$P$1048576,10,FALSE),"")</f>
        <v/>
      </c>
      <c r="J220" t="str">
        <f>IFERROR(_xlfn.CONCAT((VLOOKUP($A220,'Consolidate List'!$A$2:$P$1048576,5,FALSE)),", ",VLOOKUP($A220,'Consolidate List'!$A$2:$P$1048576,6,FALSE)),"")</f>
        <v/>
      </c>
      <c r="K220" t="str">
        <f>IFERROR(VLOOKUP($A220,'Consolidate List'!$A$2:$P$1048576,17,FALSE),"")</f>
        <v/>
      </c>
    </row>
    <row r="221" spans="1:11" x14ac:dyDescent="0.35">
      <c r="A221" t="str">
        <f>IFERROR(Tableau1[[#This Row],[ID Unique]],"")</f>
        <v/>
      </c>
      <c r="B221" t="str">
        <f>IFERROR(VLOOKUP($A221,'Consolidate List'!$A$2:$P$1048576,15,FALSE),"")</f>
        <v/>
      </c>
      <c r="C221" t="str">
        <f>IFERROR(VLOOKUP($A221,'Consolidate List'!$A$2:$P$1048576,16,FALSE),"")</f>
        <v/>
      </c>
      <c r="D221" t="str">
        <f>IFERROR(VLOOKUP($A221,'Consolidate List'!$A$2:$P$1048576,8,FALSE),"")</f>
        <v/>
      </c>
      <c r="F221" t="str">
        <f>IFERROR(VLOOKUP($A221,'Consolidate List'!$A$2:$P$1048576,12,FALSE),"")</f>
        <v/>
      </c>
      <c r="G221" t="str">
        <f>IFERROR(VLOOKUP($A221,'Consolidate List'!$A$2:$P$1048576,11,FALSE),"")</f>
        <v/>
      </c>
      <c r="H221" t="str">
        <f>IFERROR(VLOOKUP($A221,'Consolidate List'!$A$2:$P$1048576,9,FALSE),"")</f>
        <v/>
      </c>
      <c r="I221" t="str">
        <f>IFERROR(VLOOKUP($A221,'Consolidate List'!$A$2:$P$1048576,10,FALSE),"")</f>
        <v/>
      </c>
      <c r="J221" t="str">
        <f>IFERROR(_xlfn.CONCAT((VLOOKUP($A221,'Consolidate List'!$A$2:$P$1048576,5,FALSE)),", ",VLOOKUP($A221,'Consolidate List'!$A$2:$P$1048576,6,FALSE)),"")</f>
        <v/>
      </c>
      <c r="K221" t="str">
        <f>IFERROR(VLOOKUP($A221,'Consolidate List'!$A$2:$P$1048576,17,FALSE),"")</f>
        <v/>
      </c>
    </row>
    <row r="222" spans="1:11" x14ac:dyDescent="0.35">
      <c r="A222" t="str">
        <f>IFERROR(Tableau1[[#This Row],[ID Unique]],"")</f>
        <v/>
      </c>
      <c r="B222" t="str">
        <f>IFERROR(VLOOKUP($A222,'Consolidate List'!$A$2:$P$1048576,15,FALSE),"")</f>
        <v/>
      </c>
      <c r="C222" t="str">
        <f>IFERROR(VLOOKUP($A222,'Consolidate List'!$A$2:$P$1048576,16,FALSE),"")</f>
        <v/>
      </c>
      <c r="D222" t="str">
        <f>IFERROR(VLOOKUP($A222,'Consolidate List'!$A$2:$P$1048576,8,FALSE),"")</f>
        <v/>
      </c>
      <c r="F222" t="str">
        <f>IFERROR(VLOOKUP($A222,'Consolidate List'!$A$2:$P$1048576,12,FALSE),"")</f>
        <v/>
      </c>
      <c r="G222" t="str">
        <f>IFERROR(VLOOKUP($A222,'Consolidate List'!$A$2:$P$1048576,11,FALSE),"")</f>
        <v/>
      </c>
      <c r="H222" t="str">
        <f>IFERROR(VLOOKUP($A222,'Consolidate List'!$A$2:$P$1048576,9,FALSE),"")</f>
        <v/>
      </c>
      <c r="I222" t="str">
        <f>IFERROR(VLOOKUP($A222,'Consolidate List'!$A$2:$P$1048576,10,FALSE),"")</f>
        <v/>
      </c>
      <c r="J222" t="str">
        <f>IFERROR(_xlfn.CONCAT((VLOOKUP($A222,'Consolidate List'!$A$2:$P$1048576,5,FALSE)),", ",VLOOKUP($A222,'Consolidate List'!$A$2:$P$1048576,6,FALSE)),"")</f>
        <v/>
      </c>
      <c r="K222" t="str">
        <f>IFERROR(VLOOKUP($A222,'Consolidate List'!$A$2:$P$1048576,17,FALSE),"")</f>
        <v/>
      </c>
    </row>
    <row r="223" spans="1:11" x14ac:dyDescent="0.35">
      <c r="A223" t="str">
        <f>IFERROR(Tableau1[[#This Row],[ID Unique]],"")</f>
        <v/>
      </c>
      <c r="B223" t="str">
        <f>IFERROR(VLOOKUP($A223,'Consolidate List'!$A$2:$P$1048576,15,FALSE),"")</f>
        <v/>
      </c>
      <c r="C223" t="str">
        <f>IFERROR(VLOOKUP($A223,'Consolidate List'!$A$2:$P$1048576,16,FALSE),"")</f>
        <v/>
      </c>
      <c r="D223" t="str">
        <f>IFERROR(VLOOKUP($A223,'Consolidate List'!$A$2:$P$1048576,8,FALSE),"")</f>
        <v/>
      </c>
      <c r="F223" t="str">
        <f>IFERROR(VLOOKUP($A223,'Consolidate List'!$A$2:$P$1048576,12,FALSE),"")</f>
        <v/>
      </c>
      <c r="G223" t="str">
        <f>IFERROR(VLOOKUP($A223,'Consolidate List'!$A$2:$P$1048576,11,FALSE),"")</f>
        <v/>
      </c>
      <c r="H223" t="str">
        <f>IFERROR(VLOOKUP($A223,'Consolidate List'!$A$2:$P$1048576,9,FALSE),"")</f>
        <v/>
      </c>
      <c r="I223" t="str">
        <f>IFERROR(VLOOKUP($A223,'Consolidate List'!$A$2:$P$1048576,10,FALSE),"")</f>
        <v/>
      </c>
      <c r="J223" t="str">
        <f>IFERROR(_xlfn.CONCAT((VLOOKUP($A223,'Consolidate List'!$A$2:$P$1048576,5,FALSE)),", ",VLOOKUP($A223,'Consolidate List'!$A$2:$P$1048576,6,FALSE)),"")</f>
        <v/>
      </c>
      <c r="K223" t="str">
        <f>IFERROR(VLOOKUP($A223,'Consolidate List'!$A$2:$P$1048576,17,FALSE),"")</f>
        <v/>
      </c>
    </row>
    <row r="224" spans="1:11" x14ac:dyDescent="0.35">
      <c r="A224" t="str">
        <f>IFERROR(Tableau1[[#This Row],[ID Unique]],"")</f>
        <v/>
      </c>
      <c r="B224" t="str">
        <f>IFERROR(VLOOKUP($A224,'Consolidate List'!$A$2:$P$1048576,15,FALSE),"")</f>
        <v/>
      </c>
      <c r="C224" t="str">
        <f>IFERROR(VLOOKUP($A224,'Consolidate List'!$A$2:$P$1048576,16,FALSE),"")</f>
        <v/>
      </c>
      <c r="D224" t="str">
        <f>IFERROR(VLOOKUP($A224,'Consolidate List'!$A$2:$P$1048576,8,FALSE),"")</f>
        <v/>
      </c>
      <c r="F224" t="str">
        <f>IFERROR(VLOOKUP($A224,'Consolidate List'!$A$2:$P$1048576,12,FALSE),"")</f>
        <v/>
      </c>
      <c r="G224" t="str">
        <f>IFERROR(VLOOKUP($A224,'Consolidate List'!$A$2:$P$1048576,11,FALSE),"")</f>
        <v/>
      </c>
      <c r="H224" t="str">
        <f>IFERROR(VLOOKUP($A224,'Consolidate List'!$A$2:$P$1048576,9,FALSE),"")</f>
        <v/>
      </c>
      <c r="I224" t="str">
        <f>IFERROR(VLOOKUP($A224,'Consolidate List'!$A$2:$P$1048576,10,FALSE),"")</f>
        <v/>
      </c>
      <c r="J224" t="str">
        <f>IFERROR(_xlfn.CONCAT((VLOOKUP($A224,'Consolidate List'!$A$2:$P$1048576,5,FALSE)),", ",VLOOKUP($A224,'Consolidate List'!$A$2:$P$1048576,6,FALSE)),"")</f>
        <v/>
      </c>
      <c r="K224" t="str">
        <f>IFERROR(VLOOKUP($A224,'Consolidate List'!$A$2:$P$1048576,17,FALSE),"")</f>
        <v/>
      </c>
    </row>
    <row r="225" spans="1:11" x14ac:dyDescent="0.35">
      <c r="A225" t="str">
        <f>IFERROR(Tableau1[[#This Row],[ID Unique]],"")</f>
        <v/>
      </c>
      <c r="B225" t="str">
        <f>IFERROR(VLOOKUP($A225,'Consolidate List'!$A$2:$P$1048576,15,FALSE),"")</f>
        <v/>
      </c>
      <c r="C225" t="str">
        <f>IFERROR(VLOOKUP($A225,'Consolidate List'!$A$2:$P$1048576,16,FALSE),"")</f>
        <v/>
      </c>
      <c r="D225" t="str">
        <f>IFERROR(VLOOKUP($A225,'Consolidate List'!$A$2:$P$1048576,8,FALSE),"")</f>
        <v/>
      </c>
      <c r="F225" t="str">
        <f>IFERROR(VLOOKUP($A225,'Consolidate List'!$A$2:$P$1048576,12,FALSE),"")</f>
        <v/>
      </c>
      <c r="G225" t="str">
        <f>IFERROR(VLOOKUP($A225,'Consolidate List'!$A$2:$P$1048576,11,FALSE),"")</f>
        <v/>
      </c>
      <c r="H225" t="str">
        <f>IFERROR(VLOOKUP($A225,'Consolidate List'!$A$2:$P$1048576,9,FALSE),"")</f>
        <v/>
      </c>
      <c r="I225" t="str">
        <f>IFERROR(VLOOKUP($A225,'Consolidate List'!$A$2:$P$1048576,10,FALSE),"")</f>
        <v/>
      </c>
      <c r="J225" t="str">
        <f>IFERROR(_xlfn.CONCAT((VLOOKUP($A225,'Consolidate List'!$A$2:$P$1048576,5,FALSE)),", ",VLOOKUP($A225,'Consolidate List'!$A$2:$P$1048576,6,FALSE)),"")</f>
        <v/>
      </c>
      <c r="K225" t="str">
        <f>IFERROR(VLOOKUP($A225,'Consolidate List'!$A$2:$P$1048576,17,FALSE),"")</f>
        <v/>
      </c>
    </row>
    <row r="226" spans="1:11" x14ac:dyDescent="0.35">
      <c r="A226" t="str">
        <f>IFERROR(Tableau1[[#This Row],[ID Unique]],"")</f>
        <v/>
      </c>
      <c r="B226" t="str">
        <f>IFERROR(VLOOKUP($A226,'Consolidate List'!$A$2:$P$1048576,15,FALSE),"")</f>
        <v/>
      </c>
      <c r="C226" t="str">
        <f>IFERROR(VLOOKUP($A226,'Consolidate List'!$A$2:$P$1048576,16,FALSE),"")</f>
        <v/>
      </c>
      <c r="D226" t="str">
        <f>IFERROR(VLOOKUP($A226,'Consolidate List'!$A$2:$P$1048576,8,FALSE),"")</f>
        <v/>
      </c>
      <c r="F226" t="str">
        <f>IFERROR(VLOOKUP($A226,'Consolidate List'!$A$2:$P$1048576,12,FALSE),"")</f>
        <v/>
      </c>
      <c r="G226" t="str">
        <f>IFERROR(VLOOKUP($A226,'Consolidate List'!$A$2:$P$1048576,11,FALSE),"")</f>
        <v/>
      </c>
      <c r="H226" t="str">
        <f>IFERROR(VLOOKUP($A226,'Consolidate List'!$A$2:$P$1048576,9,FALSE),"")</f>
        <v/>
      </c>
      <c r="I226" t="str">
        <f>IFERROR(VLOOKUP($A226,'Consolidate List'!$A$2:$P$1048576,10,FALSE),"")</f>
        <v/>
      </c>
      <c r="J226" t="str">
        <f>IFERROR(_xlfn.CONCAT((VLOOKUP($A226,'Consolidate List'!$A$2:$P$1048576,5,FALSE)),", ",VLOOKUP($A226,'Consolidate List'!$A$2:$P$1048576,6,FALSE)),"")</f>
        <v/>
      </c>
      <c r="K226" t="str">
        <f>IFERROR(VLOOKUP($A226,'Consolidate List'!$A$2:$P$1048576,17,FALSE),"")</f>
        <v/>
      </c>
    </row>
    <row r="227" spans="1:11" x14ac:dyDescent="0.35">
      <c r="A227" t="str">
        <f>IFERROR(Tableau1[[#This Row],[ID Unique]],"")</f>
        <v/>
      </c>
      <c r="B227" t="str">
        <f>IFERROR(VLOOKUP($A227,'Consolidate List'!$A$2:$P$1048576,15,FALSE),"")</f>
        <v/>
      </c>
      <c r="C227" t="str">
        <f>IFERROR(VLOOKUP($A227,'Consolidate List'!$A$2:$P$1048576,16,FALSE),"")</f>
        <v/>
      </c>
      <c r="D227" t="str">
        <f>IFERROR(VLOOKUP($A227,'Consolidate List'!$A$2:$P$1048576,8,FALSE),"")</f>
        <v/>
      </c>
      <c r="F227" t="str">
        <f>IFERROR(VLOOKUP($A227,'Consolidate List'!$A$2:$P$1048576,12,FALSE),"")</f>
        <v/>
      </c>
      <c r="G227" t="str">
        <f>IFERROR(VLOOKUP($A227,'Consolidate List'!$A$2:$P$1048576,11,FALSE),"")</f>
        <v/>
      </c>
      <c r="H227" t="str">
        <f>IFERROR(VLOOKUP($A227,'Consolidate List'!$A$2:$P$1048576,9,FALSE),"")</f>
        <v/>
      </c>
      <c r="I227" t="str">
        <f>IFERROR(VLOOKUP($A227,'Consolidate List'!$A$2:$P$1048576,10,FALSE),"")</f>
        <v/>
      </c>
      <c r="J227" t="str">
        <f>IFERROR(_xlfn.CONCAT((VLOOKUP($A227,'Consolidate List'!$A$2:$P$1048576,5,FALSE)),", ",VLOOKUP($A227,'Consolidate List'!$A$2:$P$1048576,6,FALSE)),"")</f>
        <v/>
      </c>
      <c r="K227" t="str">
        <f>IFERROR(VLOOKUP($A227,'Consolidate List'!$A$2:$P$1048576,17,FALSE),"")</f>
        <v/>
      </c>
    </row>
    <row r="228" spans="1:11" x14ac:dyDescent="0.35">
      <c r="A228" t="str">
        <f>IFERROR(Tableau1[[#This Row],[ID Unique]],"")</f>
        <v/>
      </c>
      <c r="B228" t="str">
        <f>IFERROR(VLOOKUP($A228,'Consolidate List'!$A$2:$P$1048576,15,FALSE),"")</f>
        <v/>
      </c>
      <c r="C228" t="str">
        <f>IFERROR(VLOOKUP($A228,'Consolidate List'!$A$2:$P$1048576,16,FALSE),"")</f>
        <v/>
      </c>
      <c r="D228" t="str">
        <f>IFERROR(VLOOKUP($A228,'Consolidate List'!$A$2:$P$1048576,8,FALSE),"")</f>
        <v/>
      </c>
      <c r="F228" t="str">
        <f>IFERROR(VLOOKUP($A228,'Consolidate List'!$A$2:$P$1048576,12,FALSE),"")</f>
        <v/>
      </c>
      <c r="G228" t="str">
        <f>IFERROR(VLOOKUP($A228,'Consolidate List'!$A$2:$P$1048576,11,FALSE),"")</f>
        <v/>
      </c>
      <c r="H228" t="str">
        <f>IFERROR(VLOOKUP($A228,'Consolidate List'!$A$2:$P$1048576,9,FALSE),"")</f>
        <v/>
      </c>
      <c r="I228" t="str">
        <f>IFERROR(VLOOKUP($A228,'Consolidate List'!$A$2:$P$1048576,10,FALSE),"")</f>
        <v/>
      </c>
      <c r="J228" t="str">
        <f>IFERROR(_xlfn.CONCAT((VLOOKUP($A228,'Consolidate List'!$A$2:$P$1048576,5,FALSE)),", ",VLOOKUP($A228,'Consolidate List'!$A$2:$P$1048576,6,FALSE)),"")</f>
        <v/>
      </c>
      <c r="K228" t="str">
        <f>IFERROR(VLOOKUP($A228,'Consolidate List'!$A$2:$P$1048576,17,FALSE),"")</f>
        <v/>
      </c>
    </row>
    <row r="229" spans="1:11" x14ac:dyDescent="0.35">
      <c r="A229" t="str">
        <f>IFERROR(Tableau1[[#This Row],[ID Unique]],"")</f>
        <v/>
      </c>
      <c r="B229" t="str">
        <f>IFERROR(VLOOKUP($A229,'Consolidate List'!$A$2:$P$1048576,15,FALSE),"")</f>
        <v/>
      </c>
      <c r="C229" t="str">
        <f>IFERROR(VLOOKUP($A229,'Consolidate List'!$A$2:$P$1048576,16,FALSE),"")</f>
        <v/>
      </c>
      <c r="D229" t="str">
        <f>IFERROR(VLOOKUP($A229,'Consolidate List'!$A$2:$P$1048576,8,FALSE),"")</f>
        <v/>
      </c>
      <c r="F229" t="str">
        <f>IFERROR(VLOOKUP($A229,'Consolidate List'!$A$2:$P$1048576,12,FALSE),"")</f>
        <v/>
      </c>
      <c r="G229" t="str">
        <f>IFERROR(VLOOKUP($A229,'Consolidate List'!$A$2:$P$1048576,11,FALSE),"")</f>
        <v/>
      </c>
      <c r="H229" t="str">
        <f>IFERROR(VLOOKUP($A229,'Consolidate List'!$A$2:$P$1048576,9,FALSE),"")</f>
        <v/>
      </c>
      <c r="I229" t="str">
        <f>IFERROR(VLOOKUP($A229,'Consolidate List'!$A$2:$P$1048576,10,FALSE),"")</f>
        <v/>
      </c>
      <c r="J229" t="str">
        <f>IFERROR(_xlfn.CONCAT((VLOOKUP($A229,'Consolidate List'!$A$2:$P$1048576,5,FALSE)),", ",VLOOKUP($A229,'Consolidate List'!$A$2:$P$1048576,6,FALSE)),"")</f>
        <v/>
      </c>
      <c r="K229" t="str">
        <f>IFERROR(VLOOKUP($A229,'Consolidate List'!$A$2:$P$1048576,17,FALSE),"")</f>
        <v/>
      </c>
    </row>
    <row r="230" spans="1:11" x14ac:dyDescent="0.35">
      <c r="A230" t="str">
        <f>IFERROR(Tableau1[[#This Row],[ID Unique]],"")</f>
        <v/>
      </c>
      <c r="B230" t="str">
        <f>IFERROR(VLOOKUP($A230,'Consolidate List'!$A$2:$P$1048576,15,FALSE),"")</f>
        <v/>
      </c>
      <c r="C230" t="str">
        <f>IFERROR(VLOOKUP($A230,'Consolidate List'!$A$2:$P$1048576,16,FALSE),"")</f>
        <v/>
      </c>
      <c r="D230" t="str">
        <f>IFERROR(VLOOKUP($A230,'Consolidate List'!$A$2:$P$1048576,8,FALSE),"")</f>
        <v/>
      </c>
      <c r="F230" t="str">
        <f>IFERROR(VLOOKUP($A230,'Consolidate List'!$A$2:$P$1048576,12,FALSE),"")</f>
        <v/>
      </c>
      <c r="G230" t="str">
        <f>IFERROR(VLOOKUP($A230,'Consolidate List'!$A$2:$P$1048576,11,FALSE),"")</f>
        <v/>
      </c>
      <c r="H230" t="str">
        <f>IFERROR(VLOOKUP($A230,'Consolidate List'!$A$2:$P$1048576,9,FALSE),"")</f>
        <v/>
      </c>
      <c r="I230" t="str">
        <f>IFERROR(VLOOKUP($A230,'Consolidate List'!$A$2:$P$1048576,10,FALSE),"")</f>
        <v/>
      </c>
      <c r="J230" t="str">
        <f>IFERROR(_xlfn.CONCAT((VLOOKUP($A230,'Consolidate List'!$A$2:$P$1048576,5,FALSE)),", ",VLOOKUP($A230,'Consolidate List'!$A$2:$P$1048576,6,FALSE)),"")</f>
        <v/>
      </c>
      <c r="K230" t="str">
        <f>IFERROR(VLOOKUP($A230,'Consolidate List'!$A$2:$P$1048576,17,FALSE),"")</f>
        <v/>
      </c>
    </row>
    <row r="231" spans="1:11" x14ac:dyDescent="0.35">
      <c r="A231" t="str">
        <f>IFERROR(Tableau1[[#This Row],[ID Unique]],"")</f>
        <v/>
      </c>
      <c r="B231" t="str">
        <f>IFERROR(VLOOKUP($A231,'Consolidate List'!$A$2:$P$1048576,15,FALSE),"")</f>
        <v/>
      </c>
      <c r="C231" t="str">
        <f>IFERROR(VLOOKUP($A231,'Consolidate List'!$A$2:$P$1048576,16,FALSE),"")</f>
        <v/>
      </c>
      <c r="D231" t="str">
        <f>IFERROR(VLOOKUP($A231,'Consolidate List'!$A$2:$P$1048576,8,FALSE),"")</f>
        <v/>
      </c>
      <c r="F231" t="str">
        <f>IFERROR(VLOOKUP($A231,'Consolidate List'!$A$2:$P$1048576,12,FALSE),"")</f>
        <v/>
      </c>
      <c r="G231" t="str">
        <f>IFERROR(VLOOKUP($A231,'Consolidate List'!$A$2:$P$1048576,11,FALSE),"")</f>
        <v/>
      </c>
      <c r="H231" t="str">
        <f>IFERROR(VLOOKUP($A231,'Consolidate List'!$A$2:$P$1048576,9,FALSE),"")</f>
        <v/>
      </c>
      <c r="I231" t="str">
        <f>IFERROR(VLOOKUP($A231,'Consolidate List'!$A$2:$P$1048576,10,FALSE),"")</f>
        <v/>
      </c>
      <c r="J231" t="str">
        <f>IFERROR(_xlfn.CONCAT((VLOOKUP($A231,'Consolidate List'!$A$2:$P$1048576,5,FALSE)),", ",VLOOKUP($A231,'Consolidate List'!$A$2:$P$1048576,6,FALSE)),"")</f>
        <v/>
      </c>
      <c r="K231" t="str">
        <f>IFERROR(VLOOKUP($A231,'Consolidate List'!$A$2:$P$1048576,17,FALSE),"")</f>
        <v/>
      </c>
    </row>
    <row r="232" spans="1:11" x14ac:dyDescent="0.35">
      <c r="A232" t="str">
        <f>IFERROR(Tableau1[[#This Row],[ID Unique]],"")</f>
        <v/>
      </c>
      <c r="B232" t="str">
        <f>IFERROR(VLOOKUP($A232,'Consolidate List'!$A$2:$P$1048576,15,FALSE),"")</f>
        <v/>
      </c>
      <c r="C232" t="str">
        <f>IFERROR(VLOOKUP($A232,'Consolidate List'!$A$2:$P$1048576,16,FALSE),"")</f>
        <v/>
      </c>
      <c r="D232" t="str">
        <f>IFERROR(VLOOKUP($A232,'Consolidate List'!$A$2:$P$1048576,8,FALSE),"")</f>
        <v/>
      </c>
      <c r="F232" t="str">
        <f>IFERROR(VLOOKUP($A232,'Consolidate List'!$A$2:$P$1048576,12,FALSE),"")</f>
        <v/>
      </c>
      <c r="G232" t="str">
        <f>IFERROR(VLOOKUP($A232,'Consolidate List'!$A$2:$P$1048576,11,FALSE),"")</f>
        <v/>
      </c>
      <c r="H232" t="str">
        <f>IFERROR(VLOOKUP($A232,'Consolidate List'!$A$2:$P$1048576,9,FALSE),"")</f>
        <v/>
      </c>
      <c r="I232" t="str">
        <f>IFERROR(VLOOKUP($A232,'Consolidate List'!$A$2:$P$1048576,10,FALSE),"")</f>
        <v/>
      </c>
      <c r="J232" t="str">
        <f>IFERROR(_xlfn.CONCAT((VLOOKUP($A232,'Consolidate List'!$A$2:$P$1048576,5,FALSE)),", ",VLOOKUP($A232,'Consolidate List'!$A$2:$P$1048576,6,FALSE)),"")</f>
        <v/>
      </c>
      <c r="K232" t="str">
        <f>IFERROR(VLOOKUP($A232,'Consolidate List'!$A$2:$P$1048576,17,FALSE),"")</f>
        <v/>
      </c>
    </row>
    <row r="233" spans="1:11" x14ac:dyDescent="0.35">
      <c r="A233" t="str">
        <f>IFERROR(Tableau1[[#This Row],[ID Unique]],"")</f>
        <v/>
      </c>
      <c r="B233" t="str">
        <f>IFERROR(VLOOKUP($A233,'Consolidate List'!$A$2:$P$1048576,15,FALSE),"")</f>
        <v/>
      </c>
      <c r="C233" t="str">
        <f>IFERROR(VLOOKUP($A233,'Consolidate List'!$A$2:$P$1048576,16,FALSE),"")</f>
        <v/>
      </c>
      <c r="D233" t="str">
        <f>IFERROR(VLOOKUP($A233,'Consolidate List'!$A$2:$P$1048576,8,FALSE),"")</f>
        <v/>
      </c>
      <c r="F233" t="str">
        <f>IFERROR(VLOOKUP($A233,'Consolidate List'!$A$2:$P$1048576,12,FALSE),"")</f>
        <v/>
      </c>
      <c r="G233" t="str">
        <f>IFERROR(VLOOKUP($A233,'Consolidate List'!$A$2:$P$1048576,11,FALSE),"")</f>
        <v/>
      </c>
      <c r="H233" t="str">
        <f>IFERROR(VLOOKUP($A233,'Consolidate List'!$A$2:$P$1048576,9,FALSE),"")</f>
        <v/>
      </c>
      <c r="I233" t="str">
        <f>IFERROR(VLOOKUP($A233,'Consolidate List'!$A$2:$P$1048576,10,FALSE),"")</f>
        <v/>
      </c>
      <c r="J233" t="str">
        <f>IFERROR(_xlfn.CONCAT((VLOOKUP($A233,'Consolidate List'!$A$2:$P$1048576,5,FALSE)),", ",VLOOKUP($A233,'Consolidate List'!$A$2:$P$1048576,6,FALSE)),"")</f>
        <v/>
      </c>
      <c r="K233" t="str">
        <f>IFERROR(VLOOKUP($A233,'Consolidate List'!$A$2:$P$1048576,17,FALSE),"")</f>
        <v/>
      </c>
    </row>
    <row r="234" spans="1:11" x14ac:dyDescent="0.35">
      <c r="A234" t="str">
        <f>IFERROR(Tableau1[[#This Row],[ID Unique]],"")</f>
        <v/>
      </c>
      <c r="B234" t="str">
        <f>IFERROR(VLOOKUP($A234,'Consolidate List'!$A$2:$P$1048576,15,FALSE),"")</f>
        <v/>
      </c>
      <c r="C234" t="str">
        <f>IFERROR(VLOOKUP($A234,'Consolidate List'!$A$2:$P$1048576,16,FALSE),"")</f>
        <v/>
      </c>
      <c r="D234" t="str">
        <f>IFERROR(VLOOKUP($A234,'Consolidate List'!$A$2:$P$1048576,8,FALSE),"")</f>
        <v/>
      </c>
      <c r="F234" t="str">
        <f>IFERROR(VLOOKUP($A234,'Consolidate List'!$A$2:$P$1048576,12,FALSE),"")</f>
        <v/>
      </c>
      <c r="G234" t="str">
        <f>IFERROR(VLOOKUP($A234,'Consolidate List'!$A$2:$P$1048576,11,FALSE),"")</f>
        <v/>
      </c>
      <c r="H234" t="str">
        <f>IFERROR(VLOOKUP($A234,'Consolidate List'!$A$2:$P$1048576,9,FALSE),"")</f>
        <v/>
      </c>
      <c r="I234" t="str">
        <f>IFERROR(VLOOKUP($A234,'Consolidate List'!$A$2:$P$1048576,10,FALSE),"")</f>
        <v/>
      </c>
      <c r="J234" t="str">
        <f>IFERROR(_xlfn.CONCAT((VLOOKUP($A234,'Consolidate List'!$A$2:$P$1048576,5,FALSE)),", ",VLOOKUP($A234,'Consolidate List'!$A$2:$P$1048576,6,FALSE)),"")</f>
        <v/>
      </c>
      <c r="K234" t="str">
        <f>IFERROR(VLOOKUP($A234,'Consolidate List'!$A$2:$P$1048576,17,FALSE),"")</f>
        <v/>
      </c>
    </row>
    <row r="235" spans="1:11" x14ac:dyDescent="0.35">
      <c r="A235" t="str">
        <f>IFERROR(Tableau1[[#This Row],[ID Unique]],"")</f>
        <v/>
      </c>
      <c r="B235" t="str">
        <f>IFERROR(VLOOKUP($A235,'Consolidate List'!$A$2:$P$1048576,15,FALSE),"")</f>
        <v/>
      </c>
      <c r="C235" t="str">
        <f>IFERROR(VLOOKUP($A235,'Consolidate List'!$A$2:$P$1048576,16,FALSE),"")</f>
        <v/>
      </c>
      <c r="D235" t="str">
        <f>IFERROR(VLOOKUP($A235,'Consolidate List'!$A$2:$P$1048576,8,FALSE),"")</f>
        <v/>
      </c>
      <c r="F235" t="str">
        <f>IFERROR(VLOOKUP($A235,'Consolidate List'!$A$2:$P$1048576,12,FALSE),"")</f>
        <v/>
      </c>
      <c r="G235" t="str">
        <f>IFERROR(VLOOKUP($A235,'Consolidate List'!$A$2:$P$1048576,11,FALSE),"")</f>
        <v/>
      </c>
      <c r="H235" t="str">
        <f>IFERROR(VLOOKUP($A235,'Consolidate List'!$A$2:$P$1048576,9,FALSE),"")</f>
        <v/>
      </c>
      <c r="I235" t="str">
        <f>IFERROR(VLOOKUP($A235,'Consolidate List'!$A$2:$P$1048576,10,FALSE),"")</f>
        <v/>
      </c>
      <c r="J235" t="str">
        <f>IFERROR(_xlfn.CONCAT((VLOOKUP($A235,'Consolidate List'!$A$2:$P$1048576,5,FALSE)),", ",VLOOKUP($A235,'Consolidate List'!$A$2:$P$1048576,6,FALSE)),"")</f>
        <v/>
      </c>
      <c r="K235" t="str">
        <f>IFERROR(VLOOKUP($A235,'Consolidate List'!$A$2:$P$1048576,17,FALSE),"")</f>
        <v/>
      </c>
    </row>
    <row r="236" spans="1:11" x14ac:dyDescent="0.35">
      <c r="A236" t="str">
        <f>IFERROR(Tableau1[[#This Row],[ID Unique]],"")</f>
        <v/>
      </c>
      <c r="B236" t="str">
        <f>IFERROR(VLOOKUP($A236,'Consolidate List'!$A$2:$P$1048576,15,FALSE),"")</f>
        <v/>
      </c>
      <c r="C236" t="str">
        <f>IFERROR(VLOOKUP($A236,'Consolidate List'!$A$2:$P$1048576,16,FALSE),"")</f>
        <v/>
      </c>
      <c r="D236" t="str">
        <f>IFERROR(VLOOKUP($A236,'Consolidate List'!$A$2:$P$1048576,8,FALSE),"")</f>
        <v/>
      </c>
      <c r="F236" t="str">
        <f>IFERROR(VLOOKUP($A236,'Consolidate List'!$A$2:$P$1048576,12,FALSE),"")</f>
        <v/>
      </c>
      <c r="G236" t="str">
        <f>IFERROR(VLOOKUP($A236,'Consolidate List'!$A$2:$P$1048576,11,FALSE),"")</f>
        <v/>
      </c>
      <c r="H236" t="str">
        <f>IFERROR(VLOOKUP($A236,'Consolidate List'!$A$2:$P$1048576,9,FALSE),"")</f>
        <v/>
      </c>
      <c r="I236" t="str">
        <f>IFERROR(VLOOKUP($A236,'Consolidate List'!$A$2:$P$1048576,10,FALSE),"")</f>
        <v/>
      </c>
      <c r="J236" t="str">
        <f>IFERROR(_xlfn.CONCAT((VLOOKUP($A236,'Consolidate List'!$A$2:$P$1048576,5,FALSE)),", ",VLOOKUP($A236,'Consolidate List'!$A$2:$P$1048576,6,FALSE)),"")</f>
        <v/>
      </c>
      <c r="K236" t="str">
        <f>IFERROR(VLOOKUP($A236,'Consolidate List'!$A$2:$P$1048576,17,FALSE),"")</f>
        <v/>
      </c>
    </row>
    <row r="237" spans="1:11" x14ac:dyDescent="0.35">
      <c r="A237" t="str">
        <f>IFERROR(Tableau1[[#This Row],[ID Unique]],"")</f>
        <v/>
      </c>
      <c r="B237" t="str">
        <f>IFERROR(VLOOKUP($A237,'Consolidate List'!$A$2:$P$1048576,15,FALSE),"")</f>
        <v/>
      </c>
      <c r="C237" t="str">
        <f>IFERROR(VLOOKUP($A237,'Consolidate List'!$A$2:$P$1048576,16,FALSE),"")</f>
        <v/>
      </c>
      <c r="D237" t="str">
        <f>IFERROR(VLOOKUP($A237,'Consolidate List'!$A$2:$P$1048576,8,FALSE),"")</f>
        <v/>
      </c>
      <c r="F237" t="str">
        <f>IFERROR(VLOOKUP($A237,'Consolidate List'!$A$2:$P$1048576,12,FALSE),"")</f>
        <v/>
      </c>
      <c r="G237" t="str">
        <f>IFERROR(VLOOKUP($A237,'Consolidate List'!$A$2:$P$1048576,11,FALSE),"")</f>
        <v/>
      </c>
      <c r="H237" t="str">
        <f>IFERROR(VLOOKUP($A237,'Consolidate List'!$A$2:$P$1048576,9,FALSE),"")</f>
        <v/>
      </c>
      <c r="I237" t="str">
        <f>IFERROR(VLOOKUP($A237,'Consolidate List'!$A$2:$P$1048576,10,FALSE),"")</f>
        <v/>
      </c>
      <c r="J237" t="str">
        <f>IFERROR(_xlfn.CONCAT((VLOOKUP($A237,'Consolidate List'!$A$2:$P$1048576,5,FALSE)),", ",VLOOKUP($A237,'Consolidate List'!$A$2:$P$1048576,6,FALSE)),"")</f>
        <v/>
      </c>
      <c r="K237" t="str">
        <f>IFERROR(VLOOKUP($A237,'Consolidate List'!$A$2:$P$1048576,17,FALSE),"")</f>
        <v/>
      </c>
    </row>
    <row r="238" spans="1:11" x14ac:dyDescent="0.35">
      <c r="A238" t="str">
        <f>IFERROR(Tableau1[[#This Row],[ID Unique]],"")</f>
        <v/>
      </c>
      <c r="B238" t="str">
        <f>IFERROR(VLOOKUP($A238,'Consolidate List'!$A$2:$P$1048576,15,FALSE),"")</f>
        <v/>
      </c>
      <c r="C238" t="str">
        <f>IFERROR(VLOOKUP($A238,'Consolidate List'!$A$2:$P$1048576,16,FALSE),"")</f>
        <v/>
      </c>
      <c r="D238" t="str">
        <f>IFERROR(VLOOKUP($A238,'Consolidate List'!$A$2:$P$1048576,8,FALSE),"")</f>
        <v/>
      </c>
      <c r="F238" t="str">
        <f>IFERROR(VLOOKUP($A238,'Consolidate List'!$A$2:$P$1048576,12,FALSE),"")</f>
        <v/>
      </c>
      <c r="G238" t="str">
        <f>IFERROR(VLOOKUP($A238,'Consolidate List'!$A$2:$P$1048576,11,FALSE),"")</f>
        <v/>
      </c>
      <c r="H238" t="str">
        <f>IFERROR(VLOOKUP($A238,'Consolidate List'!$A$2:$P$1048576,9,FALSE),"")</f>
        <v/>
      </c>
      <c r="I238" t="str">
        <f>IFERROR(VLOOKUP($A238,'Consolidate List'!$A$2:$P$1048576,10,FALSE),"")</f>
        <v/>
      </c>
      <c r="J238" t="str">
        <f>IFERROR(_xlfn.CONCAT((VLOOKUP($A238,'Consolidate List'!$A$2:$P$1048576,5,FALSE)),", ",VLOOKUP($A238,'Consolidate List'!$A$2:$P$1048576,6,FALSE)),"")</f>
        <v/>
      </c>
      <c r="K238" t="str">
        <f>IFERROR(VLOOKUP($A238,'Consolidate List'!$A$2:$P$1048576,17,FALSE),"")</f>
        <v/>
      </c>
    </row>
    <row r="239" spans="1:11" x14ac:dyDescent="0.35">
      <c r="A239" t="str">
        <f>IFERROR(Tableau1[[#This Row],[ID Unique]],"")</f>
        <v/>
      </c>
      <c r="B239" t="str">
        <f>IFERROR(VLOOKUP($A239,'Consolidate List'!$A$2:$P$1048576,15,FALSE),"")</f>
        <v/>
      </c>
      <c r="C239" t="str">
        <f>IFERROR(VLOOKUP($A239,'Consolidate List'!$A$2:$P$1048576,16,FALSE),"")</f>
        <v/>
      </c>
      <c r="D239" t="str">
        <f>IFERROR(VLOOKUP($A239,'Consolidate List'!$A$2:$P$1048576,8,FALSE),"")</f>
        <v/>
      </c>
      <c r="F239" t="str">
        <f>IFERROR(VLOOKUP($A239,'Consolidate List'!$A$2:$P$1048576,12,FALSE),"")</f>
        <v/>
      </c>
      <c r="G239" t="str">
        <f>IFERROR(VLOOKUP($A239,'Consolidate List'!$A$2:$P$1048576,11,FALSE),"")</f>
        <v/>
      </c>
      <c r="H239" t="str">
        <f>IFERROR(VLOOKUP($A239,'Consolidate List'!$A$2:$P$1048576,9,FALSE),"")</f>
        <v/>
      </c>
      <c r="I239" t="str">
        <f>IFERROR(VLOOKUP($A239,'Consolidate List'!$A$2:$P$1048576,10,FALSE),"")</f>
        <v/>
      </c>
      <c r="J239" t="str">
        <f>IFERROR(_xlfn.CONCAT((VLOOKUP($A239,'Consolidate List'!$A$2:$P$1048576,5,FALSE)),", ",VLOOKUP($A239,'Consolidate List'!$A$2:$P$1048576,6,FALSE)),"")</f>
        <v/>
      </c>
      <c r="K239" t="str">
        <f>IFERROR(VLOOKUP($A239,'Consolidate List'!$A$2:$P$1048576,17,FALSE),"")</f>
        <v/>
      </c>
    </row>
    <row r="240" spans="1:11" x14ac:dyDescent="0.35">
      <c r="A240" t="str">
        <f>IFERROR(Tableau1[[#This Row],[ID Unique]],"")</f>
        <v/>
      </c>
      <c r="B240" t="str">
        <f>IFERROR(VLOOKUP($A240,'Consolidate List'!$A$2:$P$1048576,15,FALSE),"")</f>
        <v/>
      </c>
      <c r="C240" t="str">
        <f>IFERROR(VLOOKUP($A240,'Consolidate List'!$A$2:$P$1048576,16,FALSE),"")</f>
        <v/>
      </c>
      <c r="D240" t="str">
        <f>IFERROR(VLOOKUP($A240,'Consolidate List'!$A$2:$P$1048576,8,FALSE),"")</f>
        <v/>
      </c>
      <c r="F240" t="str">
        <f>IFERROR(VLOOKUP($A240,'Consolidate List'!$A$2:$P$1048576,12,FALSE),"")</f>
        <v/>
      </c>
      <c r="G240" t="str">
        <f>IFERROR(VLOOKUP($A240,'Consolidate List'!$A$2:$P$1048576,11,FALSE),"")</f>
        <v/>
      </c>
      <c r="H240" t="str">
        <f>IFERROR(VLOOKUP($A240,'Consolidate List'!$A$2:$P$1048576,9,FALSE),"")</f>
        <v/>
      </c>
      <c r="I240" t="str">
        <f>IFERROR(VLOOKUP($A240,'Consolidate List'!$A$2:$P$1048576,10,FALSE),"")</f>
        <v/>
      </c>
      <c r="J240" t="str">
        <f>IFERROR(_xlfn.CONCAT((VLOOKUP($A240,'Consolidate List'!$A$2:$P$1048576,5,FALSE)),", ",VLOOKUP($A240,'Consolidate List'!$A$2:$P$1048576,6,FALSE)),"")</f>
        <v/>
      </c>
      <c r="K240" t="str">
        <f>IFERROR(VLOOKUP($A240,'Consolidate List'!$A$2:$P$1048576,17,FALSE),"")</f>
        <v/>
      </c>
    </row>
    <row r="241" spans="1:11" x14ac:dyDescent="0.35">
      <c r="A241" t="str">
        <f>IFERROR(Tableau1[[#This Row],[ID Unique]],"")</f>
        <v/>
      </c>
      <c r="B241" t="str">
        <f>IFERROR(VLOOKUP($A241,'Consolidate List'!$A$2:$P$1048576,15,FALSE),"")</f>
        <v/>
      </c>
      <c r="C241" t="str">
        <f>IFERROR(VLOOKUP($A241,'Consolidate List'!$A$2:$P$1048576,16,FALSE),"")</f>
        <v/>
      </c>
      <c r="D241" t="str">
        <f>IFERROR(VLOOKUP($A241,'Consolidate List'!$A$2:$P$1048576,8,FALSE),"")</f>
        <v/>
      </c>
      <c r="F241" t="str">
        <f>IFERROR(VLOOKUP($A241,'Consolidate List'!$A$2:$P$1048576,12,FALSE),"")</f>
        <v/>
      </c>
      <c r="G241" t="str">
        <f>IFERROR(VLOOKUP($A241,'Consolidate List'!$A$2:$P$1048576,11,FALSE),"")</f>
        <v/>
      </c>
      <c r="H241" t="str">
        <f>IFERROR(VLOOKUP($A241,'Consolidate List'!$A$2:$P$1048576,9,FALSE),"")</f>
        <v/>
      </c>
      <c r="I241" t="str">
        <f>IFERROR(VLOOKUP($A241,'Consolidate List'!$A$2:$P$1048576,10,FALSE),"")</f>
        <v/>
      </c>
      <c r="J241" t="str">
        <f>IFERROR(_xlfn.CONCAT((VLOOKUP($A241,'Consolidate List'!$A$2:$P$1048576,5,FALSE)),", ",VLOOKUP($A241,'Consolidate List'!$A$2:$P$1048576,6,FALSE)),"")</f>
        <v/>
      </c>
      <c r="K241" t="str">
        <f>IFERROR(VLOOKUP($A241,'Consolidate List'!$A$2:$P$1048576,17,FALSE),"")</f>
        <v/>
      </c>
    </row>
    <row r="242" spans="1:11" x14ac:dyDescent="0.35">
      <c r="A242" t="str">
        <f>IFERROR(Tableau1[[#This Row],[ID Unique]],"")</f>
        <v/>
      </c>
      <c r="B242" t="str">
        <f>IFERROR(VLOOKUP($A242,'Consolidate List'!$A$2:$P$1048576,15,FALSE),"")</f>
        <v/>
      </c>
      <c r="C242" t="str">
        <f>IFERROR(VLOOKUP($A242,'Consolidate List'!$A$2:$P$1048576,16,FALSE),"")</f>
        <v/>
      </c>
      <c r="D242" t="str">
        <f>IFERROR(VLOOKUP($A242,'Consolidate List'!$A$2:$P$1048576,8,FALSE),"")</f>
        <v/>
      </c>
      <c r="F242" t="str">
        <f>IFERROR(VLOOKUP($A242,'Consolidate List'!$A$2:$P$1048576,12,FALSE),"")</f>
        <v/>
      </c>
      <c r="G242" t="str">
        <f>IFERROR(VLOOKUP($A242,'Consolidate List'!$A$2:$P$1048576,11,FALSE),"")</f>
        <v/>
      </c>
      <c r="H242" t="str">
        <f>IFERROR(VLOOKUP($A242,'Consolidate List'!$A$2:$P$1048576,9,FALSE),"")</f>
        <v/>
      </c>
      <c r="I242" t="str">
        <f>IFERROR(VLOOKUP($A242,'Consolidate List'!$A$2:$P$1048576,10,FALSE),"")</f>
        <v/>
      </c>
      <c r="J242" t="str">
        <f>IFERROR(_xlfn.CONCAT((VLOOKUP($A242,'Consolidate List'!$A$2:$P$1048576,5,FALSE)),", ",VLOOKUP($A242,'Consolidate List'!$A$2:$P$1048576,6,FALSE)),"")</f>
        <v/>
      </c>
      <c r="K242" t="str">
        <f>IFERROR(VLOOKUP($A242,'Consolidate List'!$A$2:$P$1048576,17,FALSE),"")</f>
        <v/>
      </c>
    </row>
    <row r="243" spans="1:11" x14ac:dyDescent="0.35">
      <c r="A243" t="str">
        <f>IFERROR(Tableau1[[#This Row],[ID Unique]],"")</f>
        <v/>
      </c>
      <c r="B243" t="str">
        <f>IFERROR(VLOOKUP($A243,'Consolidate List'!$A$2:$P$1048576,15,FALSE),"")</f>
        <v/>
      </c>
      <c r="C243" t="str">
        <f>IFERROR(VLOOKUP($A243,'Consolidate List'!$A$2:$P$1048576,16,FALSE),"")</f>
        <v/>
      </c>
      <c r="D243" t="str">
        <f>IFERROR(VLOOKUP($A243,'Consolidate List'!$A$2:$P$1048576,8,FALSE),"")</f>
        <v/>
      </c>
      <c r="F243" t="str">
        <f>IFERROR(VLOOKUP($A243,'Consolidate List'!$A$2:$P$1048576,12,FALSE),"")</f>
        <v/>
      </c>
      <c r="G243" t="str">
        <f>IFERROR(VLOOKUP($A243,'Consolidate List'!$A$2:$P$1048576,11,FALSE),"")</f>
        <v/>
      </c>
      <c r="H243" t="str">
        <f>IFERROR(VLOOKUP($A243,'Consolidate List'!$A$2:$P$1048576,9,FALSE),"")</f>
        <v/>
      </c>
      <c r="I243" t="str">
        <f>IFERROR(VLOOKUP($A243,'Consolidate List'!$A$2:$P$1048576,10,FALSE),"")</f>
        <v/>
      </c>
      <c r="J243" t="str">
        <f>IFERROR(_xlfn.CONCAT((VLOOKUP($A243,'Consolidate List'!$A$2:$P$1048576,5,FALSE)),", ",VLOOKUP($A243,'Consolidate List'!$A$2:$P$1048576,6,FALSE)),"")</f>
        <v/>
      </c>
      <c r="K243" t="str">
        <f>IFERROR(VLOOKUP($A243,'Consolidate List'!$A$2:$P$1048576,17,FALSE),"")</f>
        <v/>
      </c>
    </row>
    <row r="244" spans="1:11" x14ac:dyDescent="0.35">
      <c r="A244" t="str">
        <f>IFERROR(Tableau1[[#This Row],[ID Unique]],"")</f>
        <v/>
      </c>
      <c r="B244" t="str">
        <f>IFERROR(VLOOKUP($A244,'Consolidate List'!$A$2:$P$1048576,15,FALSE),"")</f>
        <v/>
      </c>
      <c r="C244" t="str">
        <f>IFERROR(VLOOKUP($A244,'Consolidate List'!$A$2:$P$1048576,16,FALSE),"")</f>
        <v/>
      </c>
      <c r="D244" t="str">
        <f>IFERROR(VLOOKUP($A244,'Consolidate List'!$A$2:$P$1048576,8,FALSE),"")</f>
        <v/>
      </c>
      <c r="F244" t="str">
        <f>IFERROR(VLOOKUP($A244,'Consolidate List'!$A$2:$P$1048576,12,FALSE),"")</f>
        <v/>
      </c>
      <c r="G244" t="str">
        <f>IFERROR(VLOOKUP($A244,'Consolidate List'!$A$2:$P$1048576,11,FALSE),"")</f>
        <v/>
      </c>
      <c r="H244" t="str">
        <f>IFERROR(VLOOKUP($A244,'Consolidate List'!$A$2:$P$1048576,9,FALSE),"")</f>
        <v/>
      </c>
      <c r="I244" t="str">
        <f>IFERROR(VLOOKUP($A244,'Consolidate List'!$A$2:$P$1048576,10,FALSE),"")</f>
        <v/>
      </c>
      <c r="J244" t="str">
        <f>IFERROR(_xlfn.CONCAT((VLOOKUP($A244,'Consolidate List'!$A$2:$P$1048576,5,FALSE)),", ",VLOOKUP($A244,'Consolidate List'!$A$2:$P$1048576,6,FALSE)),"")</f>
        <v/>
      </c>
      <c r="K244" t="str">
        <f>IFERROR(VLOOKUP($A244,'Consolidate List'!$A$2:$P$1048576,17,FALSE),"")</f>
        <v/>
      </c>
    </row>
    <row r="245" spans="1:11" x14ac:dyDescent="0.35">
      <c r="A245" t="str">
        <f>IFERROR(Tableau1[[#This Row],[ID Unique]],"")</f>
        <v/>
      </c>
      <c r="B245" t="str">
        <f>IFERROR(VLOOKUP($A245,'Consolidate List'!$A$2:$P$1048576,15,FALSE),"")</f>
        <v/>
      </c>
      <c r="C245" t="str">
        <f>IFERROR(VLOOKUP($A245,'Consolidate List'!$A$2:$P$1048576,16,FALSE),"")</f>
        <v/>
      </c>
      <c r="D245" t="str">
        <f>IFERROR(VLOOKUP($A245,'Consolidate List'!$A$2:$P$1048576,8,FALSE),"")</f>
        <v/>
      </c>
      <c r="F245" t="str">
        <f>IFERROR(VLOOKUP($A245,'Consolidate List'!$A$2:$P$1048576,12,FALSE),"")</f>
        <v/>
      </c>
      <c r="G245" t="str">
        <f>IFERROR(VLOOKUP($A245,'Consolidate List'!$A$2:$P$1048576,11,FALSE),"")</f>
        <v/>
      </c>
      <c r="H245" t="str">
        <f>IFERROR(VLOOKUP($A245,'Consolidate List'!$A$2:$P$1048576,9,FALSE),"")</f>
        <v/>
      </c>
      <c r="I245" t="str">
        <f>IFERROR(VLOOKUP($A245,'Consolidate List'!$A$2:$P$1048576,10,FALSE),"")</f>
        <v/>
      </c>
      <c r="J245" t="str">
        <f>IFERROR(_xlfn.CONCAT((VLOOKUP($A245,'Consolidate List'!$A$2:$P$1048576,5,FALSE)),", ",VLOOKUP($A245,'Consolidate List'!$A$2:$P$1048576,6,FALSE)),"")</f>
        <v/>
      </c>
      <c r="K245" t="str">
        <f>IFERROR(VLOOKUP($A245,'Consolidate List'!$A$2:$P$1048576,17,FALSE),"")</f>
        <v/>
      </c>
    </row>
    <row r="246" spans="1:11" x14ac:dyDescent="0.35">
      <c r="A246" t="str">
        <f>IFERROR(Tableau1[[#This Row],[ID Unique]],"")</f>
        <v/>
      </c>
      <c r="B246" t="str">
        <f>IFERROR(VLOOKUP($A246,'Consolidate List'!$A$2:$P$1048576,15,FALSE),"")</f>
        <v/>
      </c>
      <c r="C246" t="str">
        <f>IFERROR(VLOOKUP($A246,'Consolidate List'!$A$2:$P$1048576,16,FALSE),"")</f>
        <v/>
      </c>
      <c r="D246" t="str">
        <f>IFERROR(VLOOKUP($A246,'Consolidate List'!$A$2:$P$1048576,8,FALSE),"")</f>
        <v/>
      </c>
      <c r="F246" t="str">
        <f>IFERROR(VLOOKUP($A246,'Consolidate List'!$A$2:$P$1048576,12,FALSE),"")</f>
        <v/>
      </c>
      <c r="G246" t="str">
        <f>IFERROR(VLOOKUP($A246,'Consolidate List'!$A$2:$P$1048576,11,FALSE),"")</f>
        <v/>
      </c>
      <c r="H246" t="str">
        <f>IFERROR(VLOOKUP($A246,'Consolidate List'!$A$2:$P$1048576,9,FALSE),"")</f>
        <v/>
      </c>
      <c r="I246" t="str">
        <f>IFERROR(VLOOKUP($A246,'Consolidate List'!$A$2:$P$1048576,10,FALSE),"")</f>
        <v/>
      </c>
      <c r="J246" t="str">
        <f>IFERROR(_xlfn.CONCAT((VLOOKUP($A246,'Consolidate List'!$A$2:$P$1048576,5,FALSE)),", ",VLOOKUP($A246,'Consolidate List'!$A$2:$P$1048576,6,FALSE)),"")</f>
        <v/>
      </c>
      <c r="K246" t="str">
        <f>IFERROR(VLOOKUP($A246,'Consolidate List'!$A$2:$P$1048576,17,FALSE),"")</f>
        <v/>
      </c>
    </row>
    <row r="247" spans="1:11" x14ac:dyDescent="0.35">
      <c r="A247" t="str">
        <f>IFERROR(Tableau1[[#This Row],[ID Unique]],"")</f>
        <v/>
      </c>
      <c r="B247" t="str">
        <f>IFERROR(VLOOKUP($A247,'Consolidate List'!$A$2:$P$1048576,15,FALSE),"")</f>
        <v/>
      </c>
      <c r="C247" t="str">
        <f>IFERROR(VLOOKUP($A247,'Consolidate List'!$A$2:$P$1048576,16,FALSE),"")</f>
        <v/>
      </c>
      <c r="D247" t="str">
        <f>IFERROR(VLOOKUP($A247,'Consolidate List'!$A$2:$P$1048576,8,FALSE),"")</f>
        <v/>
      </c>
      <c r="F247" t="str">
        <f>IFERROR(VLOOKUP($A247,'Consolidate List'!$A$2:$P$1048576,12,FALSE),"")</f>
        <v/>
      </c>
      <c r="G247" t="str">
        <f>IFERROR(VLOOKUP($A247,'Consolidate List'!$A$2:$P$1048576,11,FALSE),"")</f>
        <v/>
      </c>
      <c r="H247" t="str">
        <f>IFERROR(VLOOKUP($A247,'Consolidate List'!$A$2:$P$1048576,9,FALSE),"")</f>
        <v/>
      </c>
      <c r="I247" t="str">
        <f>IFERROR(VLOOKUP($A247,'Consolidate List'!$A$2:$P$1048576,10,FALSE),"")</f>
        <v/>
      </c>
      <c r="J247" t="str">
        <f>IFERROR(_xlfn.CONCAT((VLOOKUP($A247,'Consolidate List'!$A$2:$P$1048576,5,FALSE)),", ",VLOOKUP($A247,'Consolidate List'!$A$2:$P$1048576,6,FALSE)),"")</f>
        <v/>
      </c>
      <c r="K247" t="str">
        <f>IFERROR(VLOOKUP($A247,'Consolidate List'!$A$2:$P$1048576,17,FALSE),"")</f>
        <v/>
      </c>
    </row>
    <row r="248" spans="1:11" x14ac:dyDescent="0.35">
      <c r="A248" t="str">
        <f>IFERROR(Tableau1[[#This Row],[ID Unique]],"")</f>
        <v/>
      </c>
      <c r="B248" t="str">
        <f>IFERROR(VLOOKUP($A248,'Consolidate List'!$A$2:$P$1048576,15,FALSE),"")</f>
        <v/>
      </c>
      <c r="C248" t="str">
        <f>IFERROR(VLOOKUP($A248,'Consolidate List'!$A$2:$P$1048576,16,FALSE),"")</f>
        <v/>
      </c>
      <c r="D248" t="str">
        <f>IFERROR(VLOOKUP($A248,'Consolidate List'!$A$2:$P$1048576,8,FALSE),"")</f>
        <v/>
      </c>
      <c r="F248" t="str">
        <f>IFERROR(VLOOKUP($A248,'Consolidate List'!$A$2:$P$1048576,12,FALSE),"")</f>
        <v/>
      </c>
      <c r="G248" t="str">
        <f>IFERROR(VLOOKUP($A248,'Consolidate List'!$A$2:$P$1048576,11,FALSE),"")</f>
        <v/>
      </c>
      <c r="H248" t="str">
        <f>IFERROR(VLOOKUP($A248,'Consolidate List'!$A$2:$P$1048576,9,FALSE),"")</f>
        <v/>
      </c>
      <c r="I248" t="str">
        <f>IFERROR(VLOOKUP($A248,'Consolidate List'!$A$2:$P$1048576,10,FALSE),"")</f>
        <v/>
      </c>
      <c r="J248" t="str">
        <f>IFERROR(_xlfn.CONCAT((VLOOKUP($A248,'Consolidate List'!$A$2:$P$1048576,5,FALSE)),", ",VLOOKUP($A248,'Consolidate List'!$A$2:$P$1048576,6,FALSE)),"")</f>
        <v/>
      </c>
      <c r="K248" t="str">
        <f>IFERROR(VLOOKUP($A248,'Consolidate List'!$A$2:$P$1048576,17,FALSE),"")</f>
        <v/>
      </c>
    </row>
    <row r="249" spans="1:11" x14ac:dyDescent="0.35">
      <c r="A249" t="str">
        <f>IFERROR(Tableau1[[#This Row],[ID Unique]],"")</f>
        <v/>
      </c>
      <c r="B249" t="str">
        <f>IFERROR(VLOOKUP($A249,'Consolidate List'!$A$2:$P$1048576,15,FALSE),"")</f>
        <v/>
      </c>
      <c r="C249" t="str">
        <f>IFERROR(VLOOKUP($A249,'Consolidate List'!$A$2:$P$1048576,16,FALSE),"")</f>
        <v/>
      </c>
      <c r="D249" t="str">
        <f>IFERROR(VLOOKUP($A249,'Consolidate List'!$A$2:$P$1048576,8,FALSE),"")</f>
        <v/>
      </c>
      <c r="F249" t="str">
        <f>IFERROR(VLOOKUP($A249,'Consolidate List'!$A$2:$P$1048576,12,FALSE),"")</f>
        <v/>
      </c>
      <c r="G249" t="str">
        <f>IFERROR(VLOOKUP($A249,'Consolidate List'!$A$2:$P$1048576,11,FALSE),"")</f>
        <v/>
      </c>
      <c r="H249" t="str">
        <f>IFERROR(VLOOKUP($A249,'Consolidate List'!$A$2:$P$1048576,9,FALSE),"")</f>
        <v/>
      </c>
      <c r="I249" t="str">
        <f>IFERROR(VLOOKUP($A249,'Consolidate List'!$A$2:$P$1048576,10,FALSE),"")</f>
        <v/>
      </c>
      <c r="J249" t="str">
        <f>IFERROR(_xlfn.CONCAT((VLOOKUP($A249,'Consolidate List'!$A$2:$P$1048576,5,FALSE)),", ",VLOOKUP($A249,'Consolidate List'!$A$2:$P$1048576,6,FALSE)),"")</f>
        <v/>
      </c>
      <c r="K249" t="str">
        <f>IFERROR(VLOOKUP($A249,'Consolidate List'!$A$2:$P$1048576,17,FALSE),"")</f>
        <v/>
      </c>
    </row>
    <row r="250" spans="1:11" x14ac:dyDescent="0.35">
      <c r="A250" t="str">
        <f>IFERROR(Tableau1[[#This Row],[ID Unique]],"")</f>
        <v/>
      </c>
      <c r="B250" t="str">
        <f>IFERROR(VLOOKUP($A250,'Consolidate List'!$A$2:$P$1048576,15,FALSE),"")</f>
        <v/>
      </c>
      <c r="C250" t="str">
        <f>IFERROR(VLOOKUP($A250,'Consolidate List'!$A$2:$P$1048576,16,FALSE),"")</f>
        <v/>
      </c>
      <c r="D250" t="str">
        <f>IFERROR(VLOOKUP($A250,'Consolidate List'!$A$2:$P$1048576,8,FALSE),"")</f>
        <v/>
      </c>
      <c r="F250" t="str">
        <f>IFERROR(VLOOKUP($A250,'Consolidate List'!$A$2:$P$1048576,12,FALSE),"")</f>
        <v/>
      </c>
      <c r="G250" t="str">
        <f>IFERROR(VLOOKUP($A250,'Consolidate List'!$A$2:$P$1048576,11,FALSE),"")</f>
        <v/>
      </c>
      <c r="H250" t="str">
        <f>IFERROR(VLOOKUP($A250,'Consolidate List'!$A$2:$P$1048576,9,FALSE),"")</f>
        <v/>
      </c>
      <c r="I250" t="str">
        <f>IFERROR(VLOOKUP($A250,'Consolidate List'!$A$2:$P$1048576,10,FALSE),"")</f>
        <v/>
      </c>
      <c r="J250" t="str">
        <f>IFERROR(_xlfn.CONCAT((VLOOKUP($A250,'Consolidate List'!$A$2:$P$1048576,5,FALSE)),", ",VLOOKUP($A250,'Consolidate List'!$A$2:$P$1048576,6,FALSE)),"")</f>
        <v/>
      </c>
      <c r="K250" t="str">
        <f>IFERROR(VLOOKUP($A250,'Consolidate List'!$A$2:$P$1048576,17,FALSE),"")</f>
        <v/>
      </c>
    </row>
    <row r="251" spans="1:11" x14ac:dyDescent="0.35">
      <c r="A251" t="str">
        <f>IFERROR(Tableau1[[#This Row],[ID Unique]],"")</f>
        <v/>
      </c>
      <c r="B251" t="str">
        <f>IFERROR(VLOOKUP($A251,'Consolidate List'!$A$2:$P$1048576,15,FALSE),"")</f>
        <v/>
      </c>
      <c r="C251" t="str">
        <f>IFERROR(VLOOKUP($A251,'Consolidate List'!$A$2:$P$1048576,16,FALSE),"")</f>
        <v/>
      </c>
      <c r="D251" t="str">
        <f>IFERROR(VLOOKUP($A251,'Consolidate List'!$A$2:$P$1048576,8,FALSE),"")</f>
        <v/>
      </c>
      <c r="F251" t="str">
        <f>IFERROR(VLOOKUP($A251,'Consolidate List'!$A$2:$P$1048576,12,FALSE),"")</f>
        <v/>
      </c>
      <c r="G251" t="str">
        <f>IFERROR(VLOOKUP($A251,'Consolidate List'!$A$2:$P$1048576,11,FALSE),"")</f>
        <v/>
      </c>
      <c r="H251" t="str">
        <f>IFERROR(VLOOKUP($A251,'Consolidate List'!$A$2:$P$1048576,9,FALSE),"")</f>
        <v/>
      </c>
      <c r="I251" t="str">
        <f>IFERROR(VLOOKUP($A251,'Consolidate List'!$A$2:$P$1048576,10,FALSE),"")</f>
        <v/>
      </c>
      <c r="J251" t="str">
        <f>IFERROR(_xlfn.CONCAT((VLOOKUP($A251,'Consolidate List'!$A$2:$P$1048576,5,FALSE)),", ",VLOOKUP($A251,'Consolidate List'!$A$2:$P$1048576,6,FALSE)),"")</f>
        <v/>
      </c>
      <c r="K251" t="str">
        <f>IFERROR(VLOOKUP($A251,'Consolidate List'!$A$2:$P$1048576,17,FALSE),"")</f>
        <v/>
      </c>
    </row>
    <row r="252" spans="1:11" x14ac:dyDescent="0.35">
      <c r="A252" t="str">
        <f>IFERROR(Tableau1[[#This Row],[ID Unique]],"")</f>
        <v/>
      </c>
      <c r="B252" t="str">
        <f>IFERROR(VLOOKUP($A252,'Consolidate List'!$A$2:$P$1048576,15,FALSE),"")</f>
        <v/>
      </c>
      <c r="C252" t="str">
        <f>IFERROR(VLOOKUP($A252,'Consolidate List'!$A$2:$P$1048576,16,FALSE),"")</f>
        <v/>
      </c>
      <c r="D252" t="str">
        <f>IFERROR(VLOOKUP($A252,'Consolidate List'!$A$2:$P$1048576,8,FALSE),"")</f>
        <v/>
      </c>
      <c r="F252" t="str">
        <f>IFERROR(VLOOKUP($A252,'Consolidate List'!$A$2:$P$1048576,12,FALSE),"")</f>
        <v/>
      </c>
      <c r="G252" t="str">
        <f>IFERROR(VLOOKUP($A252,'Consolidate List'!$A$2:$P$1048576,11,FALSE),"")</f>
        <v/>
      </c>
      <c r="H252" t="str">
        <f>IFERROR(VLOOKUP($A252,'Consolidate List'!$A$2:$P$1048576,9,FALSE),"")</f>
        <v/>
      </c>
      <c r="I252" t="str">
        <f>IFERROR(VLOOKUP($A252,'Consolidate List'!$A$2:$P$1048576,10,FALSE),"")</f>
        <v/>
      </c>
      <c r="J252" t="str">
        <f>IFERROR(_xlfn.CONCAT((VLOOKUP($A252,'Consolidate List'!$A$2:$P$1048576,5,FALSE)),", ",VLOOKUP($A252,'Consolidate List'!$A$2:$P$1048576,6,FALSE)),"")</f>
        <v/>
      </c>
      <c r="K252" t="str">
        <f>IFERROR(VLOOKUP($A252,'Consolidate List'!$A$2:$P$1048576,17,FALSE),"")</f>
        <v/>
      </c>
    </row>
    <row r="253" spans="1:11" x14ac:dyDescent="0.35">
      <c r="A253" t="str">
        <f>IFERROR(Tableau1[[#This Row],[ID Unique]],"")</f>
        <v/>
      </c>
      <c r="B253" t="str">
        <f>IFERROR(VLOOKUP($A253,'Consolidate List'!$A$2:$P$1048576,15,FALSE),"")</f>
        <v/>
      </c>
      <c r="C253" t="str">
        <f>IFERROR(VLOOKUP($A253,'Consolidate List'!$A$2:$P$1048576,16,FALSE),"")</f>
        <v/>
      </c>
      <c r="D253" t="str">
        <f>IFERROR(VLOOKUP($A253,'Consolidate List'!$A$2:$P$1048576,8,FALSE),"")</f>
        <v/>
      </c>
      <c r="F253" t="str">
        <f>IFERROR(VLOOKUP($A253,'Consolidate List'!$A$2:$P$1048576,12,FALSE),"")</f>
        <v/>
      </c>
      <c r="G253" t="str">
        <f>IFERROR(VLOOKUP($A253,'Consolidate List'!$A$2:$P$1048576,11,FALSE),"")</f>
        <v/>
      </c>
      <c r="H253" t="str">
        <f>IFERROR(VLOOKUP($A253,'Consolidate List'!$A$2:$P$1048576,9,FALSE),"")</f>
        <v/>
      </c>
      <c r="I253" t="str">
        <f>IFERROR(VLOOKUP($A253,'Consolidate List'!$A$2:$P$1048576,10,FALSE),"")</f>
        <v/>
      </c>
      <c r="J253" t="str">
        <f>IFERROR(_xlfn.CONCAT((VLOOKUP($A253,'Consolidate List'!$A$2:$P$1048576,5,FALSE)),", ",VLOOKUP($A253,'Consolidate List'!$A$2:$P$1048576,6,FALSE)),"")</f>
        <v/>
      </c>
      <c r="K253" t="str">
        <f>IFERROR(VLOOKUP($A253,'Consolidate List'!$A$2:$P$1048576,17,FALSE),"")</f>
        <v/>
      </c>
    </row>
    <row r="254" spans="1:11" x14ac:dyDescent="0.35">
      <c r="A254" t="str">
        <f>IFERROR(Tableau1[[#This Row],[ID Unique]],"")</f>
        <v/>
      </c>
      <c r="B254" t="str">
        <f>IFERROR(VLOOKUP($A254,'Consolidate List'!$A$2:$P$1048576,15,FALSE),"")</f>
        <v/>
      </c>
      <c r="C254" t="str">
        <f>IFERROR(VLOOKUP($A254,'Consolidate List'!$A$2:$P$1048576,16,FALSE),"")</f>
        <v/>
      </c>
      <c r="D254" t="str">
        <f>IFERROR(VLOOKUP($A254,'Consolidate List'!$A$2:$P$1048576,8,FALSE),"")</f>
        <v/>
      </c>
      <c r="F254" t="str">
        <f>IFERROR(VLOOKUP($A254,'Consolidate List'!$A$2:$P$1048576,12,FALSE),"")</f>
        <v/>
      </c>
      <c r="G254" t="str">
        <f>IFERROR(VLOOKUP($A254,'Consolidate List'!$A$2:$P$1048576,11,FALSE),"")</f>
        <v/>
      </c>
      <c r="H254" t="str">
        <f>IFERROR(VLOOKUP($A254,'Consolidate List'!$A$2:$P$1048576,9,FALSE),"")</f>
        <v/>
      </c>
      <c r="I254" t="str">
        <f>IFERROR(VLOOKUP($A254,'Consolidate List'!$A$2:$P$1048576,10,FALSE),"")</f>
        <v/>
      </c>
      <c r="J254" t="str">
        <f>IFERROR(_xlfn.CONCAT((VLOOKUP($A254,'Consolidate List'!$A$2:$P$1048576,5,FALSE)),", ",VLOOKUP($A254,'Consolidate List'!$A$2:$P$1048576,6,FALSE)),"")</f>
        <v/>
      </c>
      <c r="K254" t="str">
        <f>IFERROR(VLOOKUP($A254,'Consolidate List'!$A$2:$P$1048576,17,FALSE),"")</f>
        <v/>
      </c>
    </row>
    <row r="255" spans="1:11" x14ac:dyDescent="0.35">
      <c r="A255" t="str">
        <f>IFERROR(Tableau1[[#This Row],[ID Unique]],"")</f>
        <v/>
      </c>
      <c r="B255" t="str">
        <f>IFERROR(VLOOKUP($A255,'Consolidate List'!$A$2:$P$1048576,15,FALSE),"")</f>
        <v/>
      </c>
      <c r="C255" t="str">
        <f>IFERROR(VLOOKUP($A255,'Consolidate List'!$A$2:$P$1048576,16,FALSE),"")</f>
        <v/>
      </c>
      <c r="D255" t="str">
        <f>IFERROR(VLOOKUP($A255,'Consolidate List'!$A$2:$P$1048576,8,FALSE),"")</f>
        <v/>
      </c>
      <c r="F255" t="str">
        <f>IFERROR(VLOOKUP($A255,'Consolidate List'!$A$2:$P$1048576,12,FALSE),"")</f>
        <v/>
      </c>
      <c r="G255" t="str">
        <f>IFERROR(VLOOKUP($A255,'Consolidate List'!$A$2:$P$1048576,11,FALSE),"")</f>
        <v/>
      </c>
      <c r="H255" t="str">
        <f>IFERROR(VLOOKUP($A255,'Consolidate List'!$A$2:$P$1048576,9,FALSE),"")</f>
        <v/>
      </c>
      <c r="I255" t="str">
        <f>IFERROR(VLOOKUP($A255,'Consolidate List'!$A$2:$P$1048576,10,FALSE),"")</f>
        <v/>
      </c>
      <c r="J255" t="str">
        <f>IFERROR(_xlfn.CONCAT((VLOOKUP($A255,'Consolidate List'!$A$2:$P$1048576,5,FALSE)),", ",VLOOKUP($A255,'Consolidate List'!$A$2:$P$1048576,6,FALSE)),"")</f>
        <v/>
      </c>
      <c r="K255" t="str">
        <f>IFERROR(VLOOKUP($A255,'Consolidate List'!$A$2:$P$1048576,17,FALSE),"")</f>
        <v/>
      </c>
    </row>
    <row r="256" spans="1:11" x14ac:dyDescent="0.35">
      <c r="A256" t="str">
        <f>IFERROR(Tableau1[[#This Row],[ID Unique]],"")</f>
        <v/>
      </c>
      <c r="B256" t="str">
        <f>IFERROR(VLOOKUP($A256,'Consolidate List'!$A$2:$P$1048576,15,FALSE),"")</f>
        <v/>
      </c>
      <c r="C256" t="str">
        <f>IFERROR(VLOOKUP($A256,'Consolidate List'!$A$2:$P$1048576,16,FALSE),"")</f>
        <v/>
      </c>
      <c r="D256" t="str">
        <f>IFERROR(VLOOKUP($A256,'Consolidate List'!$A$2:$P$1048576,8,FALSE),"")</f>
        <v/>
      </c>
      <c r="F256" t="str">
        <f>IFERROR(VLOOKUP($A256,'Consolidate List'!$A$2:$P$1048576,12,FALSE),"")</f>
        <v/>
      </c>
      <c r="G256" t="str">
        <f>IFERROR(VLOOKUP($A256,'Consolidate List'!$A$2:$P$1048576,11,FALSE),"")</f>
        <v/>
      </c>
      <c r="H256" t="str">
        <f>IFERROR(VLOOKUP($A256,'Consolidate List'!$A$2:$P$1048576,9,FALSE),"")</f>
        <v/>
      </c>
      <c r="I256" t="str">
        <f>IFERROR(VLOOKUP($A256,'Consolidate List'!$A$2:$P$1048576,10,FALSE),"")</f>
        <v/>
      </c>
      <c r="J256" t="str">
        <f>IFERROR(_xlfn.CONCAT((VLOOKUP($A256,'Consolidate List'!$A$2:$P$1048576,5,FALSE)),", ",VLOOKUP($A256,'Consolidate List'!$A$2:$P$1048576,6,FALSE)),"")</f>
        <v/>
      </c>
      <c r="K256" t="str">
        <f>IFERROR(VLOOKUP($A256,'Consolidate List'!$A$2:$P$1048576,17,FALSE),"")</f>
        <v/>
      </c>
    </row>
    <row r="257" spans="1:11" x14ac:dyDescent="0.35">
      <c r="A257" t="str">
        <f>IFERROR(Tableau1[[#This Row],[ID Unique]],"")</f>
        <v/>
      </c>
      <c r="B257" t="str">
        <f>IFERROR(VLOOKUP($A257,'Consolidate List'!$A$2:$P$1048576,15,FALSE),"")</f>
        <v/>
      </c>
      <c r="C257" t="str">
        <f>IFERROR(VLOOKUP($A257,'Consolidate List'!$A$2:$P$1048576,16,FALSE),"")</f>
        <v/>
      </c>
      <c r="D257" t="str">
        <f>IFERROR(VLOOKUP($A257,'Consolidate List'!$A$2:$P$1048576,8,FALSE),"")</f>
        <v/>
      </c>
      <c r="F257" t="str">
        <f>IFERROR(VLOOKUP($A257,'Consolidate List'!$A$2:$P$1048576,12,FALSE),"")</f>
        <v/>
      </c>
      <c r="G257" t="str">
        <f>IFERROR(VLOOKUP($A257,'Consolidate List'!$A$2:$P$1048576,11,FALSE),"")</f>
        <v/>
      </c>
      <c r="H257" t="str">
        <f>IFERROR(VLOOKUP($A257,'Consolidate List'!$A$2:$P$1048576,9,FALSE),"")</f>
        <v/>
      </c>
      <c r="I257" t="str">
        <f>IFERROR(VLOOKUP($A257,'Consolidate List'!$A$2:$P$1048576,10,FALSE),"")</f>
        <v/>
      </c>
      <c r="J257" t="str">
        <f>IFERROR(_xlfn.CONCAT((VLOOKUP($A257,'Consolidate List'!$A$2:$P$1048576,5,FALSE)),", ",VLOOKUP($A257,'Consolidate List'!$A$2:$P$1048576,6,FALSE)),"")</f>
        <v/>
      </c>
      <c r="K257" t="str">
        <f>IFERROR(VLOOKUP($A257,'Consolidate List'!$A$2:$P$1048576,17,FALSE),"")</f>
        <v/>
      </c>
    </row>
    <row r="258" spans="1:11" x14ac:dyDescent="0.35">
      <c r="A258" t="str">
        <f>IFERROR(Tableau1[[#This Row],[ID Unique]],"")</f>
        <v/>
      </c>
      <c r="B258" t="str">
        <f>IFERROR(VLOOKUP($A258,'Consolidate List'!$A$2:$P$1048576,15,FALSE),"")</f>
        <v/>
      </c>
      <c r="C258" t="str">
        <f>IFERROR(VLOOKUP($A258,'Consolidate List'!$A$2:$P$1048576,16,FALSE),"")</f>
        <v/>
      </c>
      <c r="D258" t="str">
        <f>IFERROR(VLOOKUP($A258,'Consolidate List'!$A$2:$P$1048576,8,FALSE),"")</f>
        <v/>
      </c>
      <c r="F258" t="str">
        <f>IFERROR(VLOOKUP($A258,'Consolidate List'!$A$2:$P$1048576,12,FALSE),"")</f>
        <v/>
      </c>
      <c r="G258" t="str">
        <f>IFERROR(VLOOKUP($A258,'Consolidate List'!$A$2:$P$1048576,11,FALSE),"")</f>
        <v/>
      </c>
      <c r="H258" t="str">
        <f>IFERROR(VLOOKUP($A258,'Consolidate List'!$A$2:$P$1048576,9,FALSE),"")</f>
        <v/>
      </c>
      <c r="I258" t="str">
        <f>IFERROR(VLOOKUP($A258,'Consolidate List'!$A$2:$P$1048576,10,FALSE),"")</f>
        <v/>
      </c>
      <c r="J258" t="str">
        <f>IFERROR(_xlfn.CONCAT((VLOOKUP($A258,'Consolidate List'!$A$2:$P$1048576,5,FALSE)),", ",VLOOKUP($A258,'Consolidate List'!$A$2:$P$1048576,6,FALSE)),"")</f>
        <v/>
      </c>
      <c r="K258" t="str">
        <f>IFERROR(VLOOKUP($A258,'Consolidate List'!$A$2:$P$1048576,17,FALSE),"")</f>
        <v/>
      </c>
    </row>
    <row r="259" spans="1:11" x14ac:dyDescent="0.35">
      <c r="A259" t="str">
        <f>IFERROR(Tableau1[[#This Row],[ID Unique]],"")</f>
        <v/>
      </c>
      <c r="B259" t="str">
        <f>IFERROR(VLOOKUP($A259,'Consolidate List'!$A$2:$P$1048576,15,FALSE),"")</f>
        <v/>
      </c>
      <c r="C259" t="str">
        <f>IFERROR(VLOOKUP($A259,'Consolidate List'!$A$2:$P$1048576,16,FALSE),"")</f>
        <v/>
      </c>
      <c r="D259" t="str">
        <f>IFERROR(VLOOKUP($A259,'Consolidate List'!$A$2:$P$1048576,8,FALSE),"")</f>
        <v/>
      </c>
      <c r="F259" t="str">
        <f>IFERROR(VLOOKUP($A259,'Consolidate List'!$A$2:$P$1048576,12,FALSE),"")</f>
        <v/>
      </c>
      <c r="G259" t="str">
        <f>IFERROR(VLOOKUP($A259,'Consolidate List'!$A$2:$P$1048576,11,FALSE),"")</f>
        <v/>
      </c>
      <c r="H259" t="str">
        <f>IFERROR(VLOOKUP($A259,'Consolidate List'!$A$2:$P$1048576,9,FALSE),"")</f>
        <v/>
      </c>
      <c r="I259" t="str">
        <f>IFERROR(VLOOKUP($A259,'Consolidate List'!$A$2:$P$1048576,10,FALSE),"")</f>
        <v/>
      </c>
      <c r="J259" t="str">
        <f>IFERROR(_xlfn.CONCAT((VLOOKUP($A259,'Consolidate List'!$A$2:$P$1048576,5,FALSE)),", ",VLOOKUP($A259,'Consolidate List'!$A$2:$P$1048576,6,FALSE)),"")</f>
        <v/>
      </c>
      <c r="K259" t="str">
        <f>IFERROR(VLOOKUP($A259,'Consolidate List'!$A$2:$P$1048576,17,FALSE),"")</f>
        <v/>
      </c>
    </row>
    <row r="260" spans="1:11" x14ac:dyDescent="0.35">
      <c r="A260" t="str">
        <f>IFERROR(Tableau1[[#This Row],[ID Unique]],"")</f>
        <v/>
      </c>
      <c r="B260" t="str">
        <f>IFERROR(VLOOKUP($A260,'Consolidate List'!$A$2:$P$1048576,15,FALSE),"")</f>
        <v/>
      </c>
      <c r="C260" t="str">
        <f>IFERROR(VLOOKUP($A260,'Consolidate List'!$A$2:$P$1048576,16,FALSE),"")</f>
        <v/>
      </c>
      <c r="D260" t="str">
        <f>IFERROR(VLOOKUP($A260,'Consolidate List'!$A$2:$P$1048576,8,FALSE),"")</f>
        <v/>
      </c>
      <c r="F260" t="str">
        <f>IFERROR(VLOOKUP($A260,'Consolidate List'!$A$2:$P$1048576,12,FALSE),"")</f>
        <v/>
      </c>
      <c r="G260" t="str">
        <f>IFERROR(VLOOKUP($A260,'Consolidate List'!$A$2:$P$1048576,11,FALSE),"")</f>
        <v/>
      </c>
      <c r="H260" t="str">
        <f>IFERROR(VLOOKUP($A260,'Consolidate List'!$A$2:$P$1048576,9,FALSE),"")</f>
        <v/>
      </c>
      <c r="I260" t="str">
        <f>IFERROR(VLOOKUP($A260,'Consolidate List'!$A$2:$P$1048576,10,FALSE),"")</f>
        <v/>
      </c>
      <c r="J260" t="str">
        <f>IFERROR(_xlfn.CONCAT((VLOOKUP($A260,'Consolidate List'!$A$2:$P$1048576,5,FALSE)),", ",VLOOKUP($A260,'Consolidate List'!$A$2:$P$1048576,6,FALSE)),"")</f>
        <v/>
      </c>
      <c r="K260" t="str">
        <f>IFERROR(VLOOKUP($A260,'Consolidate List'!$A$2:$P$1048576,17,FALSE),"")</f>
        <v/>
      </c>
    </row>
    <row r="261" spans="1:11" x14ac:dyDescent="0.35">
      <c r="A261" t="str">
        <f>IFERROR(Tableau1[[#This Row],[ID Unique]],"")</f>
        <v/>
      </c>
      <c r="B261" t="str">
        <f>IFERROR(VLOOKUP($A261,'Consolidate List'!$A$2:$P$1048576,15,FALSE),"")</f>
        <v/>
      </c>
      <c r="C261" t="str">
        <f>IFERROR(VLOOKUP($A261,'Consolidate List'!$A$2:$P$1048576,16,FALSE),"")</f>
        <v/>
      </c>
      <c r="D261" t="str">
        <f>IFERROR(VLOOKUP($A261,'Consolidate List'!$A$2:$P$1048576,8,FALSE),"")</f>
        <v/>
      </c>
      <c r="F261" t="str">
        <f>IFERROR(VLOOKUP($A261,'Consolidate List'!$A$2:$P$1048576,12,FALSE),"")</f>
        <v/>
      </c>
      <c r="G261" t="str">
        <f>IFERROR(VLOOKUP($A261,'Consolidate List'!$A$2:$P$1048576,11,FALSE),"")</f>
        <v/>
      </c>
      <c r="H261" t="str">
        <f>IFERROR(VLOOKUP($A261,'Consolidate List'!$A$2:$P$1048576,9,FALSE),"")</f>
        <v/>
      </c>
      <c r="I261" t="str">
        <f>IFERROR(VLOOKUP($A261,'Consolidate List'!$A$2:$P$1048576,10,FALSE),"")</f>
        <v/>
      </c>
      <c r="J261" t="str">
        <f>IFERROR(_xlfn.CONCAT((VLOOKUP($A261,'Consolidate List'!$A$2:$P$1048576,5,FALSE)),", ",VLOOKUP($A261,'Consolidate List'!$A$2:$P$1048576,6,FALSE)),"")</f>
        <v/>
      </c>
      <c r="K261" t="str">
        <f>IFERROR(VLOOKUP($A261,'Consolidate List'!$A$2:$P$1048576,17,FALSE),"")</f>
        <v/>
      </c>
    </row>
    <row r="262" spans="1:11" x14ac:dyDescent="0.35">
      <c r="A262" t="str">
        <f>IFERROR(Tableau1[[#This Row],[ID Unique]],"")</f>
        <v/>
      </c>
      <c r="B262" t="str">
        <f>IFERROR(VLOOKUP($A262,'Consolidate List'!$A$2:$P$1048576,15,FALSE),"")</f>
        <v/>
      </c>
      <c r="C262" t="str">
        <f>IFERROR(VLOOKUP($A262,'Consolidate List'!$A$2:$P$1048576,16,FALSE),"")</f>
        <v/>
      </c>
      <c r="D262" t="str">
        <f>IFERROR(VLOOKUP($A262,'Consolidate List'!$A$2:$P$1048576,8,FALSE),"")</f>
        <v/>
      </c>
      <c r="F262" t="str">
        <f>IFERROR(VLOOKUP($A262,'Consolidate List'!$A$2:$P$1048576,12,FALSE),"")</f>
        <v/>
      </c>
      <c r="G262" t="str">
        <f>IFERROR(VLOOKUP($A262,'Consolidate List'!$A$2:$P$1048576,11,FALSE),"")</f>
        <v/>
      </c>
      <c r="H262" t="str">
        <f>IFERROR(VLOOKUP($A262,'Consolidate List'!$A$2:$P$1048576,9,FALSE),"")</f>
        <v/>
      </c>
      <c r="I262" t="str">
        <f>IFERROR(VLOOKUP($A262,'Consolidate List'!$A$2:$P$1048576,10,FALSE),"")</f>
        <v/>
      </c>
      <c r="J262" t="str">
        <f>IFERROR(_xlfn.CONCAT((VLOOKUP($A262,'Consolidate List'!$A$2:$P$1048576,5,FALSE)),", ",VLOOKUP($A262,'Consolidate List'!$A$2:$P$1048576,6,FALSE)),"")</f>
        <v/>
      </c>
      <c r="K262" t="str">
        <f>IFERROR(VLOOKUP($A262,'Consolidate List'!$A$2:$P$1048576,17,FALSE),"")</f>
        <v/>
      </c>
    </row>
    <row r="263" spans="1:11" x14ac:dyDescent="0.35">
      <c r="A263" t="str">
        <f>IFERROR(Tableau1[[#This Row],[ID Unique]],"")</f>
        <v/>
      </c>
      <c r="B263" t="str">
        <f>IFERROR(VLOOKUP($A263,'Consolidate List'!$A$2:$P$1048576,15,FALSE),"")</f>
        <v/>
      </c>
      <c r="C263" t="str">
        <f>IFERROR(VLOOKUP($A263,'Consolidate List'!$A$2:$P$1048576,16,FALSE),"")</f>
        <v/>
      </c>
      <c r="D263" t="str">
        <f>IFERROR(VLOOKUP($A263,'Consolidate List'!$A$2:$P$1048576,8,FALSE),"")</f>
        <v/>
      </c>
      <c r="F263" t="str">
        <f>IFERROR(VLOOKUP($A263,'Consolidate List'!$A$2:$P$1048576,12,FALSE),"")</f>
        <v/>
      </c>
      <c r="G263" t="str">
        <f>IFERROR(VLOOKUP($A263,'Consolidate List'!$A$2:$P$1048576,11,FALSE),"")</f>
        <v/>
      </c>
      <c r="H263" t="str">
        <f>IFERROR(VLOOKUP($A263,'Consolidate List'!$A$2:$P$1048576,9,FALSE),"")</f>
        <v/>
      </c>
      <c r="I263" t="str">
        <f>IFERROR(VLOOKUP($A263,'Consolidate List'!$A$2:$P$1048576,10,FALSE),"")</f>
        <v/>
      </c>
      <c r="J263" t="str">
        <f>IFERROR(_xlfn.CONCAT((VLOOKUP($A263,'Consolidate List'!$A$2:$P$1048576,5,FALSE)),", ",VLOOKUP($A263,'Consolidate List'!$A$2:$P$1048576,6,FALSE)),"")</f>
        <v/>
      </c>
      <c r="K263" t="str">
        <f>IFERROR(VLOOKUP($A263,'Consolidate List'!$A$2:$P$1048576,17,FALSE),"")</f>
        <v/>
      </c>
    </row>
    <row r="264" spans="1:11" x14ac:dyDescent="0.35">
      <c r="A264" t="str">
        <f>IFERROR(Tableau1[[#This Row],[ID Unique]],"")</f>
        <v/>
      </c>
      <c r="B264" t="str">
        <f>IFERROR(VLOOKUP($A264,'Consolidate List'!$A$2:$P$1048576,15,FALSE),"")</f>
        <v/>
      </c>
      <c r="C264" t="str">
        <f>IFERROR(VLOOKUP($A264,'Consolidate List'!$A$2:$P$1048576,16,FALSE),"")</f>
        <v/>
      </c>
      <c r="D264" t="str">
        <f>IFERROR(VLOOKUP($A264,'Consolidate List'!$A$2:$P$1048576,8,FALSE),"")</f>
        <v/>
      </c>
      <c r="F264" t="str">
        <f>IFERROR(VLOOKUP($A264,'Consolidate List'!$A$2:$P$1048576,12,FALSE),"")</f>
        <v/>
      </c>
      <c r="G264" t="str">
        <f>IFERROR(VLOOKUP($A264,'Consolidate List'!$A$2:$P$1048576,11,FALSE),"")</f>
        <v/>
      </c>
      <c r="H264" t="str">
        <f>IFERROR(VLOOKUP($A264,'Consolidate List'!$A$2:$P$1048576,9,FALSE),"")</f>
        <v/>
      </c>
      <c r="I264" t="str">
        <f>IFERROR(VLOOKUP($A264,'Consolidate List'!$A$2:$P$1048576,10,FALSE),"")</f>
        <v/>
      </c>
      <c r="J264" t="str">
        <f>IFERROR(_xlfn.CONCAT((VLOOKUP($A264,'Consolidate List'!$A$2:$P$1048576,5,FALSE)),", ",VLOOKUP($A264,'Consolidate List'!$A$2:$P$1048576,6,FALSE)),"")</f>
        <v/>
      </c>
      <c r="K264" t="str">
        <f>IFERROR(VLOOKUP($A264,'Consolidate List'!$A$2:$P$1048576,17,FALSE),"")</f>
        <v/>
      </c>
    </row>
    <row r="265" spans="1:11" x14ac:dyDescent="0.35">
      <c r="A265" t="str">
        <f>IFERROR(Tableau1[[#This Row],[ID Unique]],"")</f>
        <v/>
      </c>
      <c r="B265" t="str">
        <f>IFERROR(VLOOKUP($A265,'Consolidate List'!$A$2:$P$1048576,15,FALSE),"")</f>
        <v/>
      </c>
      <c r="C265" t="str">
        <f>IFERROR(VLOOKUP($A265,'Consolidate List'!$A$2:$P$1048576,16,FALSE),"")</f>
        <v/>
      </c>
      <c r="D265" t="str">
        <f>IFERROR(VLOOKUP($A265,'Consolidate List'!$A$2:$P$1048576,8,FALSE),"")</f>
        <v/>
      </c>
      <c r="F265" t="str">
        <f>IFERROR(VLOOKUP($A265,'Consolidate List'!$A$2:$P$1048576,12,FALSE),"")</f>
        <v/>
      </c>
      <c r="G265" t="str">
        <f>IFERROR(VLOOKUP($A265,'Consolidate List'!$A$2:$P$1048576,11,FALSE),"")</f>
        <v/>
      </c>
      <c r="H265" t="str">
        <f>IFERROR(VLOOKUP($A265,'Consolidate List'!$A$2:$P$1048576,9,FALSE),"")</f>
        <v/>
      </c>
      <c r="I265" t="str">
        <f>IFERROR(VLOOKUP($A265,'Consolidate List'!$A$2:$P$1048576,10,FALSE),"")</f>
        <v/>
      </c>
      <c r="J265" t="str">
        <f>IFERROR(_xlfn.CONCAT((VLOOKUP($A265,'Consolidate List'!$A$2:$P$1048576,5,FALSE)),", ",VLOOKUP($A265,'Consolidate List'!$A$2:$P$1048576,6,FALSE)),"")</f>
        <v/>
      </c>
      <c r="K265" t="str">
        <f>IFERROR(VLOOKUP($A265,'Consolidate List'!$A$2:$P$1048576,17,FALSE),"")</f>
        <v/>
      </c>
    </row>
    <row r="266" spans="1:11" x14ac:dyDescent="0.35">
      <c r="A266" t="str">
        <f>IFERROR(Tableau1[[#This Row],[ID Unique]],"")</f>
        <v/>
      </c>
      <c r="B266" t="str">
        <f>IFERROR(VLOOKUP($A266,'Consolidate List'!$A$2:$P$1048576,15,FALSE),"")</f>
        <v/>
      </c>
      <c r="C266" t="str">
        <f>IFERROR(VLOOKUP($A266,'Consolidate List'!$A$2:$P$1048576,16,FALSE),"")</f>
        <v/>
      </c>
      <c r="D266" t="str">
        <f>IFERROR(VLOOKUP($A266,'Consolidate List'!$A$2:$P$1048576,8,FALSE),"")</f>
        <v/>
      </c>
      <c r="F266" t="str">
        <f>IFERROR(VLOOKUP($A266,'Consolidate List'!$A$2:$P$1048576,12,FALSE),"")</f>
        <v/>
      </c>
      <c r="G266" t="str">
        <f>IFERROR(VLOOKUP($A266,'Consolidate List'!$A$2:$P$1048576,11,FALSE),"")</f>
        <v/>
      </c>
      <c r="H266" t="str">
        <f>IFERROR(VLOOKUP($A266,'Consolidate List'!$A$2:$P$1048576,9,FALSE),"")</f>
        <v/>
      </c>
      <c r="I266" t="str">
        <f>IFERROR(VLOOKUP($A266,'Consolidate List'!$A$2:$P$1048576,10,FALSE),"")</f>
        <v/>
      </c>
      <c r="J266" t="str">
        <f>IFERROR(_xlfn.CONCAT((VLOOKUP($A266,'Consolidate List'!$A$2:$P$1048576,5,FALSE)),", ",VLOOKUP($A266,'Consolidate List'!$A$2:$P$1048576,6,FALSE)),"")</f>
        <v/>
      </c>
      <c r="K266" t="str">
        <f>IFERROR(VLOOKUP($A266,'Consolidate List'!$A$2:$P$1048576,17,FALSE),"")</f>
        <v/>
      </c>
    </row>
    <row r="267" spans="1:11" x14ac:dyDescent="0.35">
      <c r="A267" t="str">
        <f>IFERROR(Tableau1[[#This Row],[ID Unique]],"")</f>
        <v/>
      </c>
      <c r="B267" t="str">
        <f>IFERROR(VLOOKUP($A267,'Consolidate List'!$A$2:$P$1048576,15,FALSE),"")</f>
        <v/>
      </c>
      <c r="C267" t="str">
        <f>IFERROR(VLOOKUP($A267,'Consolidate List'!$A$2:$P$1048576,16,FALSE),"")</f>
        <v/>
      </c>
      <c r="D267" t="str">
        <f>IFERROR(VLOOKUP($A267,'Consolidate List'!$A$2:$P$1048576,8,FALSE),"")</f>
        <v/>
      </c>
      <c r="F267" t="str">
        <f>IFERROR(VLOOKUP($A267,'Consolidate List'!$A$2:$P$1048576,12,FALSE),"")</f>
        <v/>
      </c>
      <c r="G267" t="str">
        <f>IFERROR(VLOOKUP($A267,'Consolidate List'!$A$2:$P$1048576,11,FALSE),"")</f>
        <v/>
      </c>
      <c r="H267" t="str">
        <f>IFERROR(VLOOKUP($A267,'Consolidate List'!$A$2:$P$1048576,9,FALSE),"")</f>
        <v/>
      </c>
      <c r="I267" t="str">
        <f>IFERROR(VLOOKUP($A267,'Consolidate List'!$A$2:$P$1048576,10,FALSE),"")</f>
        <v/>
      </c>
      <c r="J267" t="str">
        <f>IFERROR(_xlfn.CONCAT((VLOOKUP($A267,'Consolidate List'!$A$2:$P$1048576,5,FALSE)),", ",VLOOKUP($A267,'Consolidate List'!$A$2:$P$1048576,6,FALSE)),"")</f>
        <v/>
      </c>
      <c r="K267" t="str">
        <f>IFERROR(VLOOKUP($A267,'Consolidate List'!$A$2:$P$1048576,17,FALSE),"")</f>
        <v/>
      </c>
    </row>
    <row r="268" spans="1:11" x14ac:dyDescent="0.35">
      <c r="A268" t="str">
        <f>IFERROR(Tableau1[[#This Row],[ID Unique]],"")</f>
        <v/>
      </c>
      <c r="B268" t="str">
        <f>IFERROR(VLOOKUP($A268,'Consolidate List'!$A$2:$P$1048576,15,FALSE),"")</f>
        <v/>
      </c>
      <c r="C268" t="str">
        <f>IFERROR(VLOOKUP($A268,'Consolidate List'!$A$2:$P$1048576,16,FALSE),"")</f>
        <v/>
      </c>
      <c r="D268" t="str">
        <f>IFERROR(VLOOKUP($A268,'Consolidate List'!$A$2:$P$1048576,8,FALSE),"")</f>
        <v/>
      </c>
      <c r="F268" t="str">
        <f>IFERROR(VLOOKUP($A268,'Consolidate List'!$A$2:$P$1048576,12,FALSE),"")</f>
        <v/>
      </c>
      <c r="G268" t="str">
        <f>IFERROR(VLOOKUP($A268,'Consolidate List'!$A$2:$P$1048576,11,FALSE),"")</f>
        <v/>
      </c>
      <c r="H268" t="str">
        <f>IFERROR(VLOOKUP($A268,'Consolidate List'!$A$2:$P$1048576,9,FALSE),"")</f>
        <v/>
      </c>
      <c r="I268" t="str">
        <f>IFERROR(VLOOKUP($A268,'Consolidate List'!$A$2:$P$1048576,10,FALSE),"")</f>
        <v/>
      </c>
      <c r="J268" t="str">
        <f>IFERROR(_xlfn.CONCAT((VLOOKUP($A268,'Consolidate List'!$A$2:$P$1048576,5,FALSE)),", ",VLOOKUP($A268,'Consolidate List'!$A$2:$P$1048576,6,FALSE)),"")</f>
        <v/>
      </c>
      <c r="K268" t="str">
        <f>IFERROR(VLOOKUP($A268,'Consolidate List'!$A$2:$P$1048576,17,FALSE),"")</f>
        <v/>
      </c>
    </row>
    <row r="269" spans="1:11" x14ac:dyDescent="0.35">
      <c r="A269" t="str">
        <f>IFERROR(Tableau1[[#This Row],[ID Unique]],"")</f>
        <v/>
      </c>
      <c r="B269" t="str">
        <f>IFERROR(VLOOKUP($A269,'Consolidate List'!$A$2:$P$1048576,15,FALSE),"")</f>
        <v/>
      </c>
      <c r="C269" t="str">
        <f>IFERROR(VLOOKUP($A269,'Consolidate List'!$A$2:$P$1048576,16,FALSE),"")</f>
        <v/>
      </c>
      <c r="D269" t="str">
        <f>IFERROR(VLOOKUP($A269,'Consolidate List'!$A$2:$P$1048576,8,FALSE),"")</f>
        <v/>
      </c>
      <c r="F269" t="str">
        <f>IFERROR(VLOOKUP($A269,'Consolidate List'!$A$2:$P$1048576,12,FALSE),"")</f>
        <v/>
      </c>
      <c r="G269" t="str">
        <f>IFERROR(VLOOKUP($A269,'Consolidate List'!$A$2:$P$1048576,11,FALSE),"")</f>
        <v/>
      </c>
      <c r="H269" t="str">
        <f>IFERROR(VLOOKUP($A269,'Consolidate List'!$A$2:$P$1048576,9,FALSE),"")</f>
        <v/>
      </c>
      <c r="I269" t="str">
        <f>IFERROR(VLOOKUP($A269,'Consolidate List'!$A$2:$P$1048576,10,FALSE),"")</f>
        <v/>
      </c>
      <c r="J269" t="str">
        <f>IFERROR(_xlfn.CONCAT((VLOOKUP($A269,'Consolidate List'!$A$2:$P$1048576,5,FALSE)),", ",VLOOKUP($A269,'Consolidate List'!$A$2:$P$1048576,6,FALSE)),"")</f>
        <v/>
      </c>
      <c r="K269" t="str">
        <f>IFERROR(VLOOKUP($A269,'Consolidate List'!$A$2:$P$1048576,17,FALSE),"")</f>
        <v/>
      </c>
    </row>
    <row r="270" spans="1:11" x14ac:dyDescent="0.35">
      <c r="A270" t="str">
        <f>IFERROR(Tableau1[[#This Row],[ID Unique]],"")</f>
        <v/>
      </c>
      <c r="B270" t="str">
        <f>IFERROR(VLOOKUP($A270,'Consolidate List'!$A$2:$P$1048576,15,FALSE),"")</f>
        <v/>
      </c>
      <c r="C270" t="str">
        <f>IFERROR(VLOOKUP($A270,'Consolidate List'!$A$2:$P$1048576,16,FALSE),"")</f>
        <v/>
      </c>
      <c r="D270" t="str">
        <f>IFERROR(VLOOKUP($A270,'Consolidate List'!$A$2:$P$1048576,8,FALSE),"")</f>
        <v/>
      </c>
      <c r="F270" t="str">
        <f>IFERROR(VLOOKUP($A270,'Consolidate List'!$A$2:$P$1048576,12,FALSE),"")</f>
        <v/>
      </c>
      <c r="G270" t="str">
        <f>IFERROR(VLOOKUP($A270,'Consolidate List'!$A$2:$P$1048576,11,FALSE),"")</f>
        <v/>
      </c>
      <c r="H270" t="str">
        <f>IFERROR(VLOOKUP($A270,'Consolidate List'!$A$2:$P$1048576,9,FALSE),"")</f>
        <v/>
      </c>
      <c r="I270" t="str">
        <f>IFERROR(VLOOKUP($A270,'Consolidate List'!$A$2:$P$1048576,10,FALSE),"")</f>
        <v/>
      </c>
      <c r="J270" t="str">
        <f>IFERROR(_xlfn.CONCAT((VLOOKUP($A270,'Consolidate List'!$A$2:$P$1048576,5,FALSE)),", ",VLOOKUP($A270,'Consolidate List'!$A$2:$P$1048576,6,FALSE)),"")</f>
        <v/>
      </c>
      <c r="K270" t="str">
        <f>IFERROR(VLOOKUP($A270,'Consolidate List'!$A$2:$P$1048576,17,FALSE),"")</f>
        <v/>
      </c>
    </row>
    <row r="271" spans="1:11" x14ac:dyDescent="0.35">
      <c r="A271" t="str">
        <f>IFERROR(Tableau1[[#This Row],[ID Unique]],"")</f>
        <v/>
      </c>
      <c r="B271" t="str">
        <f>IFERROR(VLOOKUP($A271,'Consolidate List'!$A$2:$P$1048576,15,FALSE),"")</f>
        <v/>
      </c>
      <c r="C271" t="str">
        <f>IFERROR(VLOOKUP($A271,'Consolidate List'!$A$2:$P$1048576,16,FALSE),"")</f>
        <v/>
      </c>
      <c r="D271" t="str">
        <f>IFERROR(VLOOKUP($A271,'Consolidate List'!$A$2:$P$1048576,8,FALSE),"")</f>
        <v/>
      </c>
      <c r="F271" t="str">
        <f>IFERROR(VLOOKUP($A271,'Consolidate List'!$A$2:$P$1048576,12,FALSE),"")</f>
        <v/>
      </c>
      <c r="G271" t="str">
        <f>IFERROR(VLOOKUP($A271,'Consolidate List'!$A$2:$P$1048576,11,FALSE),"")</f>
        <v/>
      </c>
      <c r="H271" t="str">
        <f>IFERROR(VLOOKUP($A271,'Consolidate List'!$A$2:$P$1048576,9,FALSE),"")</f>
        <v/>
      </c>
      <c r="I271" t="str">
        <f>IFERROR(VLOOKUP($A271,'Consolidate List'!$A$2:$P$1048576,10,FALSE),"")</f>
        <v/>
      </c>
      <c r="J271" t="str">
        <f>IFERROR(_xlfn.CONCAT((VLOOKUP($A271,'Consolidate List'!$A$2:$P$1048576,5,FALSE)),", ",VLOOKUP($A271,'Consolidate List'!$A$2:$P$1048576,6,FALSE)),"")</f>
        <v/>
      </c>
      <c r="K271" t="str">
        <f>IFERROR(VLOOKUP($A271,'Consolidate List'!$A$2:$P$1048576,17,FALSE),"")</f>
        <v/>
      </c>
    </row>
    <row r="272" spans="1:11" x14ac:dyDescent="0.35">
      <c r="A272" t="str">
        <f>IFERROR(Tableau1[[#This Row],[ID Unique]],"")</f>
        <v/>
      </c>
      <c r="B272" t="str">
        <f>IFERROR(VLOOKUP($A272,'Consolidate List'!$A$2:$P$1048576,15,FALSE),"")</f>
        <v/>
      </c>
      <c r="C272" t="str">
        <f>IFERROR(VLOOKUP($A272,'Consolidate List'!$A$2:$P$1048576,16,FALSE),"")</f>
        <v/>
      </c>
      <c r="D272" t="str">
        <f>IFERROR(VLOOKUP($A272,'Consolidate List'!$A$2:$P$1048576,8,FALSE),"")</f>
        <v/>
      </c>
      <c r="F272" t="str">
        <f>IFERROR(VLOOKUP($A272,'Consolidate List'!$A$2:$P$1048576,12,FALSE),"")</f>
        <v/>
      </c>
      <c r="G272" t="str">
        <f>IFERROR(VLOOKUP($A272,'Consolidate List'!$A$2:$P$1048576,11,FALSE),"")</f>
        <v/>
      </c>
      <c r="H272" t="str">
        <f>IFERROR(VLOOKUP($A272,'Consolidate List'!$A$2:$P$1048576,9,FALSE),"")</f>
        <v/>
      </c>
      <c r="I272" t="str">
        <f>IFERROR(VLOOKUP($A272,'Consolidate List'!$A$2:$P$1048576,10,FALSE),"")</f>
        <v/>
      </c>
      <c r="J272" t="str">
        <f>IFERROR(_xlfn.CONCAT((VLOOKUP($A272,'Consolidate List'!$A$2:$P$1048576,5,FALSE)),", ",VLOOKUP($A272,'Consolidate List'!$A$2:$P$1048576,6,FALSE)),"")</f>
        <v/>
      </c>
      <c r="K272" t="str">
        <f>IFERROR(VLOOKUP($A272,'Consolidate List'!$A$2:$P$1048576,17,FALSE),"")</f>
        <v/>
      </c>
    </row>
    <row r="273" spans="1:11" x14ac:dyDescent="0.35">
      <c r="A273" t="str">
        <f>IFERROR(Tableau1[[#This Row],[ID Unique]],"")</f>
        <v/>
      </c>
      <c r="B273" t="str">
        <f>IFERROR(VLOOKUP($A273,'Consolidate List'!$A$2:$P$1048576,15,FALSE),"")</f>
        <v/>
      </c>
      <c r="C273" t="str">
        <f>IFERROR(VLOOKUP($A273,'Consolidate List'!$A$2:$P$1048576,16,FALSE),"")</f>
        <v/>
      </c>
      <c r="D273" t="str">
        <f>IFERROR(VLOOKUP($A273,'Consolidate List'!$A$2:$P$1048576,8,FALSE),"")</f>
        <v/>
      </c>
      <c r="F273" t="str">
        <f>IFERROR(VLOOKUP($A273,'Consolidate List'!$A$2:$P$1048576,12,FALSE),"")</f>
        <v/>
      </c>
      <c r="G273" t="str">
        <f>IFERROR(VLOOKUP($A273,'Consolidate List'!$A$2:$P$1048576,11,FALSE),"")</f>
        <v/>
      </c>
      <c r="H273" t="str">
        <f>IFERROR(VLOOKUP($A273,'Consolidate List'!$A$2:$P$1048576,9,FALSE),"")</f>
        <v/>
      </c>
      <c r="I273" t="str">
        <f>IFERROR(VLOOKUP($A273,'Consolidate List'!$A$2:$P$1048576,10,FALSE),"")</f>
        <v/>
      </c>
      <c r="J273" t="str">
        <f>IFERROR(_xlfn.CONCAT((VLOOKUP($A273,'Consolidate List'!$A$2:$P$1048576,5,FALSE)),", ",VLOOKUP($A273,'Consolidate List'!$A$2:$P$1048576,6,FALSE)),"")</f>
        <v/>
      </c>
      <c r="K273" t="str">
        <f>IFERROR(VLOOKUP($A273,'Consolidate List'!$A$2:$P$1048576,17,FALSE),"")</f>
        <v/>
      </c>
    </row>
    <row r="274" spans="1:11" x14ac:dyDescent="0.35">
      <c r="A274" t="str">
        <f>IFERROR(Tableau1[[#This Row],[ID Unique]],"")</f>
        <v/>
      </c>
      <c r="B274" t="str">
        <f>IFERROR(VLOOKUP($A274,'Consolidate List'!$A$2:$P$1048576,15,FALSE),"")</f>
        <v/>
      </c>
      <c r="C274" t="str">
        <f>IFERROR(VLOOKUP($A274,'Consolidate List'!$A$2:$P$1048576,16,FALSE),"")</f>
        <v/>
      </c>
      <c r="D274" t="str">
        <f>IFERROR(VLOOKUP($A274,'Consolidate List'!$A$2:$P$1048576,8,FALSE),"")</f>
        <v/>
      </c>
      <c r="F274" t="str">
        <f>IFERROR(VLOOKUP($A274,'Consolidate List'!$A$2:$P$1048576,12,FALSE),"")</f>
        <v/>
      </c>
      <c r="G274" t="str">
        <f>IFERROR(VLOOKUP($A274,'Consolidate List'!$A$2:$P$1048576,11,FALSE),"")</f>
        <v/>
      </c>
      <c r="H274" t="str">
        <f>IFERROR(VLOOKUP($A274,'Consolidate List'!$A$2:$P$1048576,9,FALSE),"")</f>
        <v/>
      </c>
      <c r="I274" t="str">
        <f>IFERROR(VLOOKUP($A274,'Consolidate List'!$A$2:$P$1048576,10,FALSE),"")</f>
        <v/>
      </c>
      <c r="J274" t="str">
        <f>IFERROR(_xlfn.CONCAT((VLOOKUP($A274,'Consolidate List'!$A$2:$P$1048576,5,FALSE)),", ",VLOOKUP($A274,'Consolidate List'!$A$2:$P$1048576,6,FALSE)),"")</f>
        <v/>
      </c>
      <c r="K274" t="str">
        <f>IFERROR(VLOOKUP($A274,'Consolidate List'!$A$2:$P$1048576,17,FALSE),"")</f>
        <v/>
      </c>
    </row>
    <row r="275" spans="1:11" x14ac:dyDescent="0.35">
      <c r="A275" t="str">
        <f>IFERROR(Tableau1[[#This Row],[ID Unique]],"")</f>
        <v/>
      </c>
      <c r="B275" t="str">
        <f>IFERROR(VLOOKUP($A275,'Consolidate List'!$A$2:$P$1048576,15,FALSE),"")</f>
        <v/>
      </c>
      <c r="C275" t="str">
        <f>IFERROR(VLOOKUP($A275,'Consolidate List'!$A$2:$P$1048576,16,FALSE),"")</f>
        <v/>
      </c>
      <c r="D275" t="str">
        <f>IFERROR(VLOOKUP($A275,'Consolidate List'!$A$2:$P$1048576,8,FALSE),"")</f>
        <v/>
      </c>
      <c r="F275" t="str">
        <f>IFERROR(VLOOKUP($A275,'Consolidate List'!$A$2:$P$1048576,12,FALSE),"")</f>
        <v/>
      </c>
      <c r="G275" t="str">
        <f>IFERROR(VLOOKUP($A275,'Consolidate List'!$A$2:$P$1048576,11,FALSE),"")</f>
        <v/>
      </c>
      <c r="H275" t="str">
        <f>IFERROR(VLOOKUP($A275,'Consolidate List'!$A$2:$P$1048576,9,FALSE),"")</f>
        <v/>
      </c>
      <c r="I275" t="str">
        <f>IFERROR(VLOOKUP($A275,'Consolidate List'!$A$2:$P$1048576,10,FALSE),"")</f>
        <v/>
      </c>
      <c r="J275" t="str">
        <f>IFERROR(_xlfn.CONCAT((VLOOKUP($A275,'Consolidate List'!$A$2:$P$1048576,5,FALSE)),", ",VLOOKUP($A275,'Consolidate List'!$A$2:$P$1048576,6,FALSE)),"")</f>
        <v/>
      </c>
      <c r="K275" t="str">
        <f>IFERROR(VLOOKUP($A275,'Consolidate List'!$A$2:$P$1048576,17,FALSE),"")</f>
        <v/>
      </c>
    </row>
    <row r="276" spans="1:11" x14ac:dyDescent="0.35">
      <c r="A276" t="str">
        <f>IFERROR(Tableau1[[#This Row],[ID Unique]],"")</f>
        <v/>
      </c>
      <c r="B276" t="str">
        <f>IFERROR(VLOOKUP($A276,'Consolidate List'!$A$2:$P$1048576,15,FALSE),"")</f>
        <v/>
      </c>
      <c r="C276" t="str">
        <f>IFERROR(VLOOKUP($A276,'Consolidate List'!$A$2:$P$1048576,16,FALSE),"")</f>
        <v/>
      </c>
      <c r="D276" t="str">
        <f>IFERROR(VLOOKUP($A276,'Consolidate List'!$A$2:$P$1048576,8,FALSE),"")</f>
        <v/>
      </c>
      <c r="F276" t="str">
        <f>IFERROR(VLOOKUP($A276,'Consolidate List'!$A$2:$P$1048576,12,FALSE),"")</f>
        <v/>
      </c>
      <c r="G276" t="str">
        <f>IFERROR(VLOOKUP($A276,'Consolidate List'!$A$2:$P$1048576,11,FALSE),"")</f>
        <v/>
      </c>
      <c r="H276" t="str">
        <f>IFERROR(VLOOKUP($A276,'Consolidate List'!$A$2:$P$1048576,9,FALSE),"")</f>
        <v/>
      </c>
      <c r="I276" t="str">
        <f>IFERROR(VLOOKUP($A276,'Consolidate List'!$A$2:$P$1048576,10,FALSE),"")</f>
        <v/>
      </c>
      <c r="J276" t="str">
        <f>IFERROR(_xlfn.CONCAT((VLOOKUP($A276,'Consolidate List'!$A$2:$P$1048576,5,FALSE)),", ",VLOOKUP($A276,'Consolidate List'!$A$2:$P$1048576,6,FALSE)),"")</f>
        <v/>
      </c>
      <c r="K276" t="str">
        <f>IFERROR(VLOOKUP($A276,'Consolidate List'!$A$2:$P$1048576,17,FALSE),"")</f>
        <v/>
      </c>
    </row>
    <row r="277" spans="1:11" x14ac:dyDescent="0.35">
      <c r="A277" t="str">
        <f>IFERROR(Tableau1[[#This Row],[ID Unique]],"")</f>
        <v/>
      </c>
      <c r="B277" t="str">
        <f>IFERROR(VLOOKUP($A277,'Consolidate List'!$A$2:$P$1048576,15,FALSE),"")</f>
        <v/>
      </c>
      <c r="C277" t="str">
        <f>IFERROR(VLOOKUP($A277,'Consolidate List'!$A$2:$P$1048576,16,FALSE),"")</f>
        <v/>
      </c>
      <c r="D277" t="str">
        <f>IFERROR(VLOOKUP($A277,'Consolidate List'!$A$2:$P$1048576,8,FALSE),"")</f>
        <v/>
      </c>
      <c r="F277" t="str">
        <f>IFERROR(VLOOKUP($A277,'Consolidate List'!$A$2:$P$1048576,12,FALSE),"")</f>
        <v/>
      </c>
      <c r="G277" t="str">
        <f>IFERROR(VLOOKUP($A277,'Consolidate List'!$A$2:$P$1048576,11,FALSE),"")</f>
        <v/>
      </c>
      <c r="H277" t="str">
        <f>IFERROR(VLOOKUP($A277,'Consolidate List'!$A$2:$P$1048576,9,FALSE),"")</f>
        <v/>
      </c>
      <c r="I277" t="str">
        <f>IFERROR(VLOOKUP($A277,'Consolidate List'!$A$2:$P$1048576,10,FALSE),"")</f>
        <v/>
      </c>
      <c r="J277" t="str">
        <f>IFERROR(_xlfn.CONCAT((VLOOKUP($A277,'Consolidate List'!$A$2:$P$1048576,5,FALSE)),", ",VLOOKUP($A277,'Consolidate List'!$A$2:$P$1048576,6,FALSE)),"")</f>
        <v/>
      </c>
      <c r="K277" t="str">
        <f>IFERROR(VLOOKUP($A277,'Consolidate List'!$A$2:$P$1048576,17,FALSE),"")</f>
        <v/>
      </c>
    </row>
    <row r="278" spans="1:11" x14ac:dyDescent="0.35">
      <c r="A278" t="str">
        <f>IFERROR(Tableau1[[#This Row],[ID Unique]],"")</f>
        <v/>
      </c>
      <c r="B278" t="str">
        <f>IFERROR(VLOOKUP($A278,'Consolidate List'!$A$2:$P$1048576,15,FALSE),"")</f>
        <v/>
      </c>
      <c r="C278" t="str">
        <f>IFERROR(VLOOKUP($A278,'Consolidate List'!$A$2:$P$1048576,16,FALSE),"")</f>
        <v/>
      </c>
      <c r="D278" t="str">
        <f>IFERROR(VLOOKUP($A278,'Consolidate List'!$A$2:$P$1048576,8,FALSE),"")</f>
        <v/>
      </c>
      <c r="F278" t="str">
        <f>IFERROR(VLOOKUP($A278,'Consolidate List'!$A$2:$P$1048576,12,FALSE),"")</f>
        <v/>
      </c>
      <c r="G278" t="str">
        <f>IFERROR(VLOOKUP($A278,'Consolidate List'!$A$2:$P$1048576,11,FALSE),"")</f>
        <v/>
      </c>
      <c r="H278" t="str">
        <f>IFERROR(VLOOKUP($A278,'Consolidate List'!$A$2:$P$1048576,9,FALSE),"")</f>
        <v/>
      </c>
      <c r="I278" t="str">
        <f>IFERROR(VLOOKUP($A278,'Consolidate List'!$A$2:$P$1048576,10,FALSE),"")</f>
        <v/>
      </c>
      <c r="J278" t="str">
        <f>IFERROR(_xlfn.CONCAT((VLOOKUP($A278,'Consolidate List'!$A$2:$P$1048576,5,FALSE)),", ",VLOOKUP($A278,'Consolidate List'!$A$2:$P$1048576,6,FALSE)),"")</f>
        <v/>
      </c>
      <c r="K278" t="str">
        <f>IFERROR(VLOOKUP($A278,'Consolidate List'!$A$2:$P$1048576,17,FALSE),"")</f>
        <v/>
      </c>
    </row>
    <row r="279" spans="1:11" x14ac:dyDescent="0.35">
      <c r="A279" t="str">
        <f>IFERROR(Tableau1[[#This Row],[ID Unique]],"")</f>
        <v/>
      </c>
      <c r="B279" t="str">
        <f>IFERROR(VLOOKUP($A279,'Consolidate List'!$A$2:$P$1048576,15,FALSE),"")</f>
        <v/>
      </c>
      <c r="C279" t="str">
        <f>IFERROR(VLOOKUP($A279,'Consolidate List'!$A$2:$P$1048576,16,FALSE),"")</f>
        <v/>
      </c>
      <c r="D279" t="str">
        <f>IFERROR(VLOOKUP($A279,'Consolidate List'!$A$2:$P$1048576,8,FALSE),"")</f>
        <v/>
      </c>
      <c r="F279" t="str">
        <f>IFERROR(VLOOKUP($A279,'Consolidate List'!$A$2:$P$1048576,12,FALSE),"")</f>
        <v/>
      </c>
      <c r="G279" t="str">
        <f>IFERROR(VLOOKUP($A279,'Consolidate List'!$A$2:$P$1048576,11,FALSE),"")</f>
        <v/>
      </c>
      <c r="H279" t="str">
        <f>IFERROR(VLOOKUP($A279,'Consolidate List'!$A$2:$P$1048576,9,FALSE),"")</f>
        <v/>
      </c>
      <c r="I279" t="str">
        <f>IFERROR(VLOOKUP($A279,'Consolidate List'!$A$2:$P$1048576,10,FALSE),"")</f>
        <v/>
      </c>
      <c r="J279" t="str">
        <f>IFERROR(_xlfn.CONCAT((VLOOKUP($A279,'Consolidate List'!$A$2:$P$1048576,5,FALSE)),", ",VLOOKUP($A279,'Consolidate List'!$A$2:$P$1048576,6,FALSE)),"")</f>
        <v/>
      </c>
      <c r="K279" t="str">
        <f>IFERROR(VLOOKUP($A279,'Consolidate List'!$A$2:$P$1048576,17,FALSE),"")</f>
        <v/>
      </c>
    </row>
    <row r="280" spans="1:11" x14ac:dyDescent="0.35">
      <c r="A280" t="str">
        <f>IFERROR(Tableau1[[#This Row],[ID Unique]],"")</f>
        <v/>
      </c>
      <c r="B280" t="str">
        <f>IFERROR(VLOOKUP($A280,'Consolidate List'!$A$2:$P$1048576,15,FALSE),"")</f>
        <v/>
      </c>
      <c r="C280" t="str">
        <f>IFERROR(VLOOKUP($A280,'Consolidate List'!$A$2:$P$1048576,16,FALSE),"")</f>
        <v/>
      </c>
      <c r="D280" t="str">
        <f>IFERROR(VLOOKUP($A280,'Consolidate List'!$A$2:$P$1048576,8,FALSE),"")</f>
        <v/>
      </c>
      <c r="F280" t="str">
        <f>IFERROR(VLOOKUP($A280,'Consolidate List'!$A$2:$P$1048576,12,FALSE),"")</f>
        <v/>
      </c>
      <c r="G280" t="str">
        <f>IFERROR(VLOOKUP($A280,'Consolidate List'!$A$2:$P$1048576,11,FALSE),"")</f>
        <v/>
      </c>
      <c r="H280" t="str">
        <f>IFERROR(VLOOKUP($A280,'Consolidate List'!$A$2:$P$1048576,9,FALSE),"")</f>
        <v/>
      </c>
      <c r="I280" t="str">
        <f>IFERROR(VLOOKUP($A280,'Consolidate List'!$A$2:$P$1048576,10,FALSE),"")</f>
        <v/>
      </c>
      <c r="J280" t="str">
        <f>IFERROR(_xlfn.CONCAT((VLOOKUP($A280,'Consolidate List'!$A$2:$P$1048576,5,FALSE)),", ",VLOOKUP($A280,'Consolidate List'!$A$2:$P$1048576,6,FALSE)),"")</f>
        <v/>
      </c>
      <c r="K280" t="str">
        <f>IFERROR(VLOOKUP($A280,'Consolidate List'!$A$2:$P$1048576,17,FALSE),"")</f>
        <v/>
      </c>
    </row>
    <row r="281" spans="1:11" x14ac:dyDescent="0.35">
      <c r="A281" t="str">
        <f>IFERROR(Tableau1[[#This Row],[ID Unique]],"")</f>
        <v/>
      </c>
      <c r="B281" t="str">
        <f>IFERROR(VLOOKUP($A281,'Consolidate List'!$A$2:$P$1048576,15,FALSE),"")</f>
        <v/>
      </c>
      <c r="C281" t="str">
        <f>IFERROR(VLOOKUP($A281,'Consolidate List'!$A$2:$P$1048576,16,FALSE),"")</f>
        <v/>
      </c>
      <c r="D281" t="str">
        <f>IFERROR(VLOOKUP($A281,'Consolidate List'!$A$2:$P$1048576,8,FALSE),"")</f>
        <v/>
      </c>
      <c r="F281" t="str">
        <f>IFERROR(VLOOKUP($A281,'Consolidate List'!$A$2:$P$1048576,12,FALSE),"")</f>
        <v/>
      </c>
      <c r="G281" t="str">
        <f>IFERROR(VLOOKUP($A281,'Consolidate List'!$A$2:$P$1048576,11,FALSE),"")</f>
        <v/>
      </c>
      <c r="H281" t="str">
        <f>IFERROR(VLOOKUP($A281,'Consolidate List'!$A$2:$P$1048576,9,FALSE),"")</f>
        <v/>
      </c>
      <c r="I281" t="str">
        <f>IFERROR(VLOOKUP($A281,'Consolidate List'!$A$2:$P$1048576,10,FALSE),"")</f>
        <v/>
      </c>
      <c r="J281" t="str">
        <f>IFERROR(_xlfn.CONCAT((VLOOKUP($A281,'Consolidate List'!$A$2:$P$1048576,5,FALSE)),", ",VLOOKUP($A281,'Consolidate List'!$A$2:$P$1048576,6,FALSE)),"")</f>
        <v/>
      </c>
      <c r="K281" t="str">
        <f>IFERROR(VLOOKUP($A281,'Consolidate List'!$A$2:$P$1048576,17,FALSE),"")</f>
        <v/>
      </c>
    </row>
    <row r="282" spans="1:11" x14ac:dyDescent="0.35">
      <c r="A282" t="str">
        <f>IFERROR(Tableau1[[#This Row],[ID Unique]],"")</f>
        <v/>
      </c>
      <c r="B282" t="str">
        <f>IFERROR(VLOOKUP($A282,'Consolidate List'!$A$2:$P$1048576,15,FALSE),"")</f>
        <v/>
      </c>
      <c r="C282" t="str">
        <f>IFERROR(VLOOKUP($A282,'Consolidate List'!$A$2:$P$1048576,16,FALSE),"")</f>
        <v/>
      </c>
      <c r="D282" t="str">
        <f>IFERROR(VLOOKUP($A282,'Consolidate List'!$A$2:$P$1048576,8,FALSE),"")</f>
        <v/>
      </c>
      <c r="F282" t="str">
        <f>IFERROR(VLOOKUP($A282,'Consolidate List'!$A$2:$P$1048576,12,FALSE),"")</f>
        <v/>
      </c>
      <c r="G282" t="str">
        <f>IFERROR(VLOOKUP($A282,'Consolidate List'!$A$2:$P$1048576,11,FALSE),"")</f>
        <v/>
      </c>
      <c r="H282" t="str">
        <f>IFERROR(VLOOKUP($A282,'Consolidate List'!$A$2:$P$1048576,9,FALSE),"")</f>
        <v/>
      </c>
      <c r="I282" t="str">
        <f>IFERROR(VLOOKUP($A282,'Consolidate List'!$A$2:$P$1048576,10,FALSE),"")</f>
        <v/>
      </c>
      <c r="J282" t="str">
        <f>IFERROR(_xlfn.CONCAT((VLOOKUP($A282,'Consolidate List'!$A$2:$P$1048576,5,FALSE)),", ",VLOOKUP($A282,'Consolidate List'!$A$2:$P$1048576,6,FALSE)),"")</f>
        <v/>
      </c>
      <c r="K282" t="str">
        <f>IFERROR(VLOOKUP($A282,'Consolidate List'!$A$2:$P$1048576,17,FALSE),"")</f>
        <v/>
      </c>
    </row>
    <row r="283" spans="1:11" x14ac:dyDescent="0.35">
      <c r="A283" t="str">
        <f>IFERROR(Tableau1[[#This Row],[ID Unique]],"")</f>
        <v/>
      </c>
      <c r="B283" t="str">
        <f>IFERROR(VLOOKUP($A283,'Consolidate List'!$A$2:$P$1048576,15,FALSE),"")</f>
        <v/>
      </c>
      <c r="C283" t="str">
        <f>IFERROR(VLOOKUP($A283,'Consolidate List'!$A$2:$P$1048576,16,FALSE),"")</f>
        <v/>
      </c>
      <c r="D283" t="str">
        <f>IFERROR(VLOOKUP($A283,'Consolidate List'!$A$2:$P$1048576,8,FALSE),"")</f>
        <v/>
      </c>
      <c r="F283" t="str">
        <f>IFERROR(VLOOKUP($A283,'Consolidate List'!$A$2:$P$1048576,12,FALSE),"")</f>
        <v/>
      </c>
      <c r="G283" t="str">
        <f>IFERROR(VLOOKUP($A283,'Consolidate List'!$A$2:$P$1048576,11,FALSE),"")</f>
        <v/>
      </c>
      <c r="H283" t="str">
        <f>IFERROR(VLOOKUP($A283,'Consolidate List'!$A$2:$P$1048576,9,FALSE),"")</f>
        <v/>
      </c>
      <c r="I283" t="str">
        <f>IFERROR(VLOOKUP($A283,'Consolidate List'!$A$2:$P$1048576,10,FALSE),"")</f>
        <v/>
      </c>
      <c r="J283" t="str">
        <f>IFERROR(_xlfn.CONCAT((VLOOKUP($A283,'Consolidate List'!$A$2:$P$1048576,5,FALSE)),", ",VLOOKUP($A283,'Consolidate List'!$A$2:$P$1048576,6,FALSE)),"")</f>
        <v/>
      </c>
      <c r="K283" t="str">
        <f>IFERROR(VLOOKUP($A283,'Consolidate List'!$A$2:$P$1048576,17,FALSE),"")</f>
        <v/>
      </c>
    </row>
    <row r="284" spans="1:11" x14ac:dyDescent="0.35">
      <c r="A284" t="str">
        <f>IFERROR(Tableau1[[#This Row],[ID Unique]],"")</f>
        <v/>
      </c>
      <c r="B284" t="str">
        <f>IFERROR(VLOOKUP($A284,'Consolidate List'!$A$2:$P$1048576,15,FALSE),"")</f>
        <v/>
      </c>
      <c r="C284" t="str">
        <f>IFERROR(VLOOKUP($A284,'Consolidate List'!$A$2:$P$1048576,16,FALSE),"")</f>
        <v/>
      </c>
      <c r="D284" t="str">
        <f>IFERROR(VLOOKUP($A284,'Consolidate List'!$A$2:$P$1048576,8,FALSE),"")</f>
        <v/>
      </c>
      <c r="F284" t="str">
        <f>IFERROR(VLOOKUP($A284,'Consolidate List'!$A$2:$P$1048576,12,FALSE),"")</f>
        <v/>
      </c>
      <c r="G284" t="str">
        <f>IFERROR(VLOOKUP($A284,'Consolidate List'!$A$2:$P$1048576,11,FALSE),"")</f>
        <v/>
      </c>
      <c r="H284" t="str">
        <f>IFERROR(VLOOKUP($A284,'Consolidate List'!$A$2:$P$1048576,9,FALSE),"")</f>
        <v/>
      </c>
      <c r="I284" t="str">
        <f>IFERROR(VLOOKUP($A284,'Consolidate List'!$A$2:$P$1048576,10,FALSE),"")</f>
        <v/>
      </c>
      <c r="J284" t="str">
        <f>IFERROR(_xlfn.CONCAT((VLOOKUP($A284,'Consolidate List'!$A$2:$P$1048576,5,FALSE)),", ",VLOOKUP($A284,'Consolidate List'!$A$2:$P$1048576,6,FALSE)),"")</f>
        <v/>
      </c>
      <c r="K284" t="str">
        <f>IFERROR(VLOOKUP($A284,'Consolidate List'!$A$2:$P$1048576,17,FALSE),"")</f>
        <v/>
      </c>
    </row>
    <row r="285" spans="1:11" x14ac:dyDescent="0.35">
      <c r="A285" t="str">
        <f>IFERROR(Tableau1[[#This Row],[ID Unique]],"")</f>
        <v/>
      </c>
      <c r="B285" t="str">
        <f>IFERROR(VLOOKUP($A285,'Consolidate List'!$A$2:$P$1048576,15,FALSE),"")</f>
        <v/>
      </c>
      <c r="C285" t="str">
        <f>IFERROR(VLOOKUP($A285,'Consolidate List'!$A$2:$P$1048576,16,FALSE),"")</f>
        <v/>
      </c>
      <c r="D285" t="str">
        <f>IFERROR(VLOOKUP($A285,'Consolidate List'!$A$2:$P$1048576,8,FALSE),"")</f>
        <v/>
      </c>
      <c r="F285" t="str">
        <f>IFERROR(VLOOKUP($A285,'Consolidate List'!$A$2:$P$1048576,12,FALSE),"")</f>
        <v/>
      </c>
      <c r="G285" t="str">
        <f>IFERROR(VLOOKUP($A285,'Consolidate List'!$A$2:$P$1048576,11,FALSE),"")</f>
        <v/>
      </c>
      <c r="H285" t="str">
        <f>IFERROR(VLOOKUP($A285,'Consolidate List'!$A$2:$P$1048576,9,FALSE),"")</f>
        <v/>
      </c>
      <c r="I285" t="str">
        <f>IFERROR(VLOOKUP($A285,'Consolidate List'!$A$2:$P$1048576,10,FALSE),"")</f>
        <v/>
      </c>
      <c r="J285" t="str">
        <f>IFERROR(_xlfn.CONCAT((VLOOKUP($A285,'Consolidate List'!$A$2:$P$1048576,5,FALSE)),", ",VLOOKUP($A285,'Consolidate List'!$A$2:$P$1048576,6,FALSE)),"")</f>
        <v/>
      </c>
      <c r="K285" t="str">
        <f>IFERROR(VLOOKUP($A285,'Consolidate List'!$A$2:$P$1048576,17,FALSE),"")</f>
        <v/>
      </c>
    </row>
    <row r="286" spans="1:11" x14ac:dyDescent="0.35">
      <c r="A286" t="str">
        <f>IFERROR(Tableau1[[#This Row],[ID Unique]],"")</f>
        <v/>
      </c>
      <c r="B286" t="str">
        <f>IFERROR(VLOOKUP($A286,'Consolidate List'!$A$2:$P$1048576,15,FALSE),"")</f>
        <v/>
      </c>
      <c r="C286" t="str">
        <f>IFERROR(VLOOKUP($A286,'Consolidate List'!$A$2:$P$1048576,16,FALSE),"")</f>
        <v/>
      </c>
      <c r="D286" t="str">
        <f>IFERROR(VLOOKUP($A286,'Consolidate List'!$A$2:$P$1048576,8,FALSE),"")</f>
        <v/>
      </c>
      <c r="F286" t="str">
        <f>IFERROR(VLOOKUP($A286,'Consolidate List'!$A$2:$P$1048576,12,FALSE),"")</f>
        <v/>
      </c>
      <c r="G286" t="str">
        <f>IFERROR(VLOOKUP($A286,'Consolidate List'!$A$2:$P$1048576,11,FALSE),"")</f>
        <v/>
      </c>
      <c r="H286" t="str">
        <f>IFERROR(VLOOKUP($A286,'Consolidate List'!$A$2:$P$1048576,9,FALSE),"")</f>
        <v/>
      </c>
      <c r="I286" t="str">
        <f>IFERROR(VLOOKUP($A286,'Consolidate List'!$A$2:$P$1048576,10,FALSE),"")</f>
        <v/>
      </c>
      <c r="J286" t="str">
        <f>IFERROR(_xlfn.CONCAT((VLOOKUP($A286,'Consolidate List'!$A$2:$P$1048576,5,FALSE)),", ",VLOOKUP($A286,'Consolidate List'!$A$2:$P$1048576,6,FALSE)),"")</f>
        <v/>
      </c>
      <c r="K286" t="str">
        <f>IFERROR(VLOOKUP($A286,'Consolidate List'!$A$2:$P$1048576,17,FALSE),"")</f>
        <v/>
      </c>
    </row>
    <row r="287" spans="1:11" x14ac:dyDescent="0.35">
      <c r="A287" t="str">
        <f>IFERROR(Tableau1[[#This Row],[ID Unique]],"")</f>
        <v/>
      </c>
      <c r="B287" t="str">
        <f>IFERROR(VLOOKUP($A287,'Consolidate List'!$A$2:$P$1048576,15,FALSE),"")</f>
        <v/>
      </c>
      <c r="C287" t="str">
        <f>IFERROR(VLOOKUP($A287,'Consolidate List'!$A$2:$P$1048576,16,FALSE),"")</f>
        <v/>
      </c>
      <c r="D287" t="str">
        <f>IFERROR(VLOOKUP($A287,'Consolidate List'!$A$2:$P$1048576,8,FALSE),"")</f>
        <v/>
      </c>
      <c r="F287" t="str">
        <f>IFERROR(VLOOKUP($A287,'Consolidate List'!$A$2:$P$1048576,12,FALSE),"")</f>
        <v/>
      </c>
      <c r="G287" t="str">
        <f>IFERROR(VLOOKUP($A287,'Consolidate List'!$A$2:$P$1048576,11,FALSE),"")</f>
        <v/>
      </c>
      <c r="H287" t="str">
        <f>IFERROR(VLOOKUP($A287,'Consolidate List'!$A$2:$P$1048576,9,FALSE),"")</f>
        <v/>
      </c>
      <c r="I287" t="str">
        <f>IFERROR(VLOOKUP($A287,'Consolidate List'!$A$2:$P$1048576,10,FALSE),"")</f>
        <v/>
      </c>
      <c r="J287" t="str">
        <f>IFERROR(_xlfn.CONCAT((VLOOKUP($A287,'Consolidate List'!$A$2:$P$1048576,5,FALSE)),", ",VLOOKUP($A287,'Consolidate List'!$A$2:$P$1048576,6,FALSE)),"")</f>
        <v/>
      </c>
      <c r="K287" t="str">
        <f>IFERROR(VLOOKUP($A287,'Consolidate List'!$A$2:$P$1048576,17,FALSE),"")</f>
        <v/>
      </c>
    </row>
    <row r="288" spans="1:11" x14ac:dyDescent="0.35">
      <c r="A288" t="str">
        <f>IFERROR(Tableau1[[#This Row],[ID Unique]],"")</f>
        <v/>
      </c>
      <c r="B288" t="str">
        <f>IFERROR(VLOOKUP($A288,'Consolidate List'!$A$2:$P$1048576,15,FALSE),"")</f>
        <v/>
      </c>
      <c r="C288" t="str">
        <f>IFERROR(VLOOKUP($A288,'Consolidate List'!$A$2:$P$1048576,16,FALSE),"")</f>
        <v/>
      </c>
      <c r="D288" t="str">
        <f>IFERROR(VLOOKUP($A288,'Consolidate List'!$A$2:$P$1048576,8,FALSE),"")</f>
        <v/>
      </c>
      <c r="F288" t="str">
        <f>IFERROR(VLOOKUP($A288,'Consolidate List'!$A$2:$P$1048576,12,FALSE),"")</f>
        <v/>
      </c>
      <c r="G288" t="str">
        <f>IFERROR(VLOOKUP($A288,'Consolidate List'!$A$2:$P$1048576,11,FALSE),"")</f>
        <v/>
      </c>
      <c r="H288" t="str">
        <f>IFERROR(VLOOKUP($A288,'Consolidate List'!$A$2:$P$1048576,9,FALSE),"")</f>
        <v/>
      </c>
      <c r="I288" t="str">
        <f>IFERROR(VLOOKUP($A288,'Consolidate List'!$A$2:$P$1048576,10,FALSE),"")</f>
        <v/>
      </c>
      <c r="J288" t="str">
        <f>IFERROR(_xlfn.CONCAT((VLOOKUP($A288,'Consolidate List'!$A$2:$P$1048576,5,FALSE)),", ",VLOOKUP($A288,'Consolidate List'!$A$2:$P$1048576,6,FALSE)),"")</f>
        <v/>
      </c>
      <c r="K288" t="str">
        <f>IFERROR(VLOOKUP($A288,'Consolidate List'!$A$2:$P$1048576,17,FALSE),"")</f>
        <v/>
      </c>
    </row>
    <row r="289" spans="1:11" x14ac:dyDescent="0.35">
      <c r="A289" t="str">
        <f>IFERROR(Tableau1[[#This Row],[ID Unique]],"")</f>
        <v/>
      </c>
      <c r="B289" t="str">
        <f>IFERROR(VLOOKUP($A289,'Consolidate List'!$A$2:$P$1048576,15,FALSE),"")</f>
        <v/>
      </c>
      <c r="C289" t="str">
        <f>IFERROR(VLOOKUP($A289,'Consolidate List'!$A$2:$P$1048576,16,FALSE),"")</f>
        <v/>
      </c>
      <c r="D289" t="str">
        <f>IFERROR(VLOOKUP($A289,'Consolidate List'!$A$2:$P$1048576,8,FALSE),"")</f>
        <v/>
      </c>
      <c r="F289" t="str">
        <f>IFERROR(VLOOKUP($A289,'Consolidate List'!$A$2:$P$1048576,12,FALSE),"")</f>
        <v/>
      </c>
      <c r="G289" t="str">
        <f>IFERROR(VLOOKUP($A289,'Consolidate List'!$A$2:$P$1048576,11,FALSE),"")</f>
        <v/>
      </c>
      <c r="H289" t="str">
        <f>IFERROR(VLOOKUP($A289,'Consolidate List'!$A$2:$P$1048576,9,FALSE),"")</f>
        <v/>
      </c>
      <c r="I289" t="str">
        <f>IFERROR(VLOOKUP($A289,'Consolidate List'!$A$2:$P$1048576,10,FALSE),"")</f>
        <v/>
      </c>
      <c r="J289" t="str">
        <f>IFERROR(_xlfn.CONCAT((VLOOKUP($A289,'Consolidate List'!$A$2:$P$1048576,5,FALSE)),", ",VLOOKUP($A289,'Consolidate List'!$A$2:$P$1048576,6,FALSE)),"")</f>
        <v/>
      </c>
      <c r="K289" t="str">
        <f>IFERROR(VLOOKUP($A289,'Consolidate List'!$A$2:$P$1048576,17,FALSE),"")</f>
        <v/>
      </c>
    </row>
    <row r="290" spans="1:11" x14ac:dyDescent="0.35">
      <c r="A290" t="str">
        <f>IFERROR(Tableau1[[#This Row],[ID Unique]],"")</f>
        <v/>
      </c>
      <c r="B290" t="str">
        <f>IFERROR(VLOOKUP($A290,'Consolidate List'!$A$2:$P$1048576,15,FALSE),"")</f>
        <v/>
      </c>
      <c r="C290" t="str">
        <f>IFERROR(VLOOKUP($A290,'Consolidate List'!$A$2:$P$1048576,16,FALSE),"")</f>
        <v/>
      </c>
      <c r="D290" t="str">
        <f>IFERROR(VLOOKUP($A290,'Consolidate List'!$A$2:$P$1048576,8,FALSE),"")</f>
        <v/>
      </c>
      <c r="F290" t="str">
        <f>IFERROR(VLOOKUP($A290,'Consolidate List'!$A$2:$P$1048576,12,FALSE),"")</f>
        <v/>
      </c>
      <c r="G290" t="str">
        <f>IFERROR(VLOOKUP($A290,'Consolidate List'!$A$2:$P$1048576,11,FALSE),"")</f>
        <v/>
      </c>
      <c r="H290" t="str">
        <f>IFERROR(VLOOKUP($A290,'Consolidate List'!$A$2:$P$1048576,9,FALSE),"")</f>
        <v/>
      </c>
      <c r="I290" t="str">
        <f>IFERROR(VLOOKUP($A290,'Consolidate List'!$A$2:$P$1048576,10,FALSE),"")</f>
        <v/>
      </c>
      <c r="J290" t="str">
        <f>IFERROR(_xlfn.CONCAT((VLOOKUP($A290,'Consolidate List'!$A$2:$P$1048576,5,FALSE)),", ",VLOOKUP($A290,'Consolidate List'!$A$2:$P$1048576,6,FALSE)),"")</f>
        <v/>
      </c>
      <c r="K290" t="str">
        <f>IFERROR(VLOOKUP($A290,'Consolidate List'!$A$2:$P$1048576,17,FALSE),"")</f>
        <v/>
      </c>
    </row>
    <row r="291" spans="1:11" x14ac:dyDescent="0.35">
      <c r="A291" t="str">
        <f>IFERROR(Tableau1[[#This Row],[ID Unique]],"")</f>
        <v/>
      </c>
      <c r="B291" t="str">
        <f>IFERROR(VLOOKUP($A291,'Consolidate List'!$A$2:$P$1048576,15,FALSE),"")</f>
        <v/>
      </c>
      <c r="C291" t="str">
        <f>IFERROR(VLOOKUP($A291,'Consolidate List'!$A$2:$P$1048576,16,FALSE),"")</f>
        <v/>
      </c>
      <c r="D291" t="str">
        <f>IFERROR(VLOOKUP($A291,'Consolidate List'!$A$2:$P$1048576,8,FALSE),"")</f>
        <v/>
      </c>
      <c r="F291" t="str">
        <f>IFERROR(VLOOKUP($A291,'Consolidate List'!$A$2:$P$1048576,12,FALSE),"")</f>
        <v/>
      </c>
      <c r="G291" t="str">
        <f>IFERROR(VLOOKUP($A291,'Consolidate List'!$A$2:$P$1048576,11,FALSE),"")</f>
        <v/>
      </c>
      <c r="H291" t="str">
        <f>IFERROR(VLOOKUP($A291,'Consolidate List'!$A$2:$P$1048576,9,FALSE),"")</f>
        <v/>
      </c>
      <c r="I291" t="str">
        <f>IFERROR(VLOOKUP($A291,'Consolidate List'!$A$2:$P$1048576,10,FALSE),"")</f>
        <v/>
      </c>
      <c r="J291" t="str">
        <f>IFERROR(_xlfn.CONCAT((VLOOKUP($A291,'Consolidate List'!$A$2:$P$1048576,5,FALSE)),", ",VLOOKUP($A291,'Consolidate List'!$A$2:$P$1048576,6,FALSE)),"")</f>
        <v/>
      </c>
      <c r="K291" t="str">
        <f>IFERROR(VLOOKUP($A291,'Consolidate List'!$A$2:$P$1048576,17,FALSE),"")</f>
        <v/>
      </c>
    </row>
    <row r="292" spans="1:11" x14ac:dyDescent="0.35">
      <c r="A292" t="str">
        <f>IFERROR(Tableau1[[#This Row],[ID Unique]],"")</f>
        <v/>
      </c>
      <c r="B292" t="str">
        <f>IFERROR(VLOOKUP($A292,'Consolidate List'!$A$2:$P$1048576,15,FALSE),"")</f>
        <v/>
      </c>
      <c r="C292" t="str">
        <f>IFERROR(VLOOKUP($A292,'Consolidate List'!$A$2:$P$1048576,16,FALSE),"")</f>
        <v/>
      </c>
      <c r="D292" t="str">
        <f>IFERROR(VLOOKUP($A292,'Consolidate List'!$A$2:$P$1048576,8,FALSE),"")</f>
        <v/>
      </c>
      <c r="F292" t="str">
        <f>IFERROR(VLOOKUP($A292,'Consolidate List'!$A$2:$P$1048576,12,FALSE),"")</f>
        <v/>
      </c>
      <c r="G292" t="str">
        <f>IFERROR(VLOOKUP($A292,'Consolidate List'!$A$2:$P$1048576,11,FALSE),"")</f>
        <v/>
      </c>
      <c r="H292" t="str">
        <f>IFERROR(VLOOKUP($A292,'Consolidate List'!$A$2:$P$1048576,9,FALSE),"")</f>
        <v/>
      </c>
      <c r="I292" t="str">
        <f>IFERROR(VLOOKUP($A292,'Consolidate List'!$A$2:$P$1048576,10,FALSE),"")</f>
        <v/>
      </c>
      <c r="J292" t="str">
        <f>IFERROR(_xlfn.CONCAT((VLOOKUP($A292,'Consolidate List'!$A$2:$P$1048576,5,FALSE)),", ",VLOOKUP($A292,'Consolidate List'!$A$2:$P$1048576,6,FALSE)),"")</f>
        <v/>
      </c>
      <c r="K292" t="str">
        <f>IFERROR(VLOOKUP($A292,'Consolidate List'!$A$2:$P$1048576,17,FALSE),"")</f>
        <v/>
      </c>
    </row>
    <row r="293" spans="1:11" x14ac:dyDescent="0.35">
      <c r="A293" t="str">
        <f>IFERROR(Tableau1[[#This Row],[ID Unique]],"")</f>
        <v/>
      </c>
      <c r="B293" t="str">
        <f>IFERROR(VLOOKUP($A293,'Consolidate List'!$A$2:$P$1048576,15,FALSE),"")</f>
        <v/>
      </c>
      <c r="C293" t="str">
        <f>IFERROR(VLOOKUP($A293,'Consolidate List'!$A$2:$P$1048576,16,FALSE),"")</f>
        <v/>
      </c>
      <c r="D293" t="str">
        <f>IFERROR(VLOOKUP($A293,'Consolidate List'!$A$2:$P$1048576,8,FALSE),"")</f>
        <v/>
      </c>
      <c r="F293" t="str">
        <f>IFERROR(VLOOKUP($A293,'Consolidate List'!$A$2:$P$1048576,12,FALSE),"")</f>
        <v/>
      </c>
      <c r="G293" t="str">
        <f>IFERROR(VLOOKUP($A293,'Consolidate List'!$A$2:$P$1048576,11,FALSE),"")</f>
        <v/>
      </c>
      <c r="H293" t="str">
        <f>IFERROR(VLOOKUP($A293,'Consolidate List'!$A$2:$P$1048576,9,FALSE),"")</f>
        <v/>
      </c>
      <c r="I293" t="str">
        <f>IFERROR(VLOOKUP($A293,'Consolidate List'!$A$2:$P$1048576,10,FALSE),"")</f>
        <v/>
      </c>
      <c r="J293" t="str">
        <f>IFERROR(_xlfn.CONCAT((VLOOKUP($A293,'Consolidate List'!$A$2:$P$1048576,5,FALSE)),", ",VLOOKUP($A293,'Consolidate List'!$A$2:$P$1048576,6,FALSE)),"")</f>
        <v/>
      </c>
      <c r="K293" t="str">
        <f>IFERROR(VLOOKUP($A293,'Consolidate List'!$A$2:$P$1048576,17,FALSE),"")</f>
        <v/>
      </c>
    </row>
    <row r="294" spans="1:11" x14ac:dyDescent="0.35">
      <c r="A294" t="str">
        <f>IFERROR(Tableau1[[#This Row],[ID Unique]],"")</f>
        <v/>
      </c>
      <c r="B294" t="str">
        <f>IFERROR(VLOOKUP($A294,'Consolidate List'!$A$2:$P$1048576,15,FALSE),"")</f>
        <v/>
      </c>
      <c r="C294" t="str">
        <f>IFERROR(VLOOKUP($A294,'Consolidate List'!$A$2:$P$1048576,16,FALSE),"")</f>
        <v/>
      </c>
      <c r="D294" t="str">
        <f>IFERROR(VLOOKUP($A294,'Consolidate List'!$A$2:$P$1048576,8,FALSE),"")</f>
        <v/>
      </c>
      <c r="F294" t="str">
        <f>IFERROR(VLOOKUP($A294,'Consolidate List'!$A$2:$P$1048576,12,FALSE),"")</f>
        <v/>
      </c>
      <c r="G294" t="str">
        <f>IFERROR(VLOOKUP($A294,'Consolidate List'!$A$2:$P$1048576,11,FALSE),"")</f>
        <v/>
      </c>
      <c r="H294" t="str">
        <f>IFERROR(VLOOKUP($A294,'Consolidate List'!$A$2:$P$1048576,9,FALSE),"")</f>
        <v/>
      </c>
      <c r="I294" t="str">
        <f>IFERROR(VLOOKUP($A294,'Consolidate List'!$A$2:$P$1048576,10,FALSE),"")</f>
        <v/>
      </c>
      <c r="J294" t="str">
        <f>IFERROR(_xlfn.CONCAT((VLOOKUP($A294,'Consolidate List'!$A$2:$P$1048576,5,FALSE)),", ",VLOOKUP($A294,'Consolidate List'!$A$2:$P$1048576,6,FALSE)),"")</f>
        <v/>
      </c>
      <c r="K294" t="str">
        <f>IFERROR(VLOOKUP($A294,'Consolidate List'!$A$2:$P$1048576,17,FALSE),"")</f>
        <v/>
      </c>
    </row>
    <row r="295" spans="1:11" x14ac:dyDescent="0.35">
      <c r="A295" t="str">
        <f>IFERROR(Tableau1[[#This Row],[ID Unique]],"")</f>
        <v/>
      </c>
      <c r="B295" t="str">
        <f>IFERROR(VLOOKUP($A295,'Consolidate List'!$A$2:$P$1048576,15,FALSE),"")</f>
        <v/>
      </c>
      <c r="C295" t="str">
        <f>IFERROR(VLOOKUP($A295,'Consolidate List'!$A$2:$P$1048576,16,FALSE),"")</f>
        <v/>
      </c>
      <c r="D295" t="str">
        <f>IFERROR(VLOOKUP($A295,'Consolidate List'!$A$2:$P$1048576,8,FALSE),"")</f>
        <v/>
      </c>
      <c r="F295" t="str">
        <f>IFERROR(VLOOKUP($A295,'Consolidate List'!$A$2:$P$1048576,12,FALSE),"")</f>
        <v/>
      </c>
      <c r="G295" t="str">
        <f>IFERROR(VLOOKUP($A295,'Consolidate List'!$A$2:$P$1048576,11,FALSE),"")</f>
        <v/>
      </c>
      <c r="H295" t="str">
        <f>IFERROR(VLOOKUP($A295,'Consolidate List'!$A$2:$P$1048576,9,FALSE),"")</f>
        <v/>
      </c>
      <c r="I295" t="str">
        <f>IFERROR(VLOOKUP($A295,'Consolidate List'!$A$2:$P$1048576,10,FALSE),"")</f>
        <v/>
      </c>
      <c r="J295" t="str">
        <f>IFERROR(_xlfn.CONCAT((VLOOKUP($A295,'Consolidate List'!$A$2:$P$1048576,5,FALSE)),", ",VLOOKUP($A295,'Consolidate List'!$A$2:$P$1048576,6,FALSE)),"")</f>
        <v/>
      </c>
      <c r="K295" t="str">
        <f>IFERROR(VLOOKUP($A295,'Consolidate List'!$A$2:$P$1048576,17,FALSE),"")</f>
        <v/>
      </c>
    </row>
    <row r="296" spans="1:11" x14ac:dyDescent="0.35">
      <c r="A296" t="str">
        <f>IFERROR(Tableau1[[#This Row],[ID Unique]],"")</f>
        <v/>
      </c>
      <c r="B296" t="str">
        <f>IFERROR(VLOOKUP($A296,'Consolidate List'!$A$2:$P$1048576,15,FALSE),"")</f>
        <v/>
      </c>
      <c r="C296" t="str">
        <f>IFERROR(VLOOKUP($A296,'Consolidate List'!$A$2:$P$1048576,16,FALSE),"")</f>
        <v/>
      </c>
      <c r="D296" t="str">
        <f>IFERROR(VLOOKUP($A296,'Consolidate List'!$A$2:$P$1048576,8,FALSE),"")</f>
        <v/>
      </c>
      <c r="F296" t="str">
        <f>IFERROR(VLOOKUP($A296,'Consolidate List'!$A$2:$P$1048576,12,FALSE),"")</f>
        <v/>
      </c>
      <c r="G296" t="str">
        <f>IFERROR(VLOOKUP($A296,'Consolidate List'!$A$2:$P$1048576,11,FALSE),"")</f>
        <v/>
      </c>
      <c r="H296" t="str">
        <f>IFERROR(VLOOKUP($A296,'Consolidate List'!$A$2:$P$1048576,9,FALSE),"")</f>
        <v/>
      </c>
      <c r="I296" t="str">
        <f>IFERROR(VLOOKUP($A296,'Consolidate List'!$A$2:$P$1048576,10,FALSE),"")</f>
        <v/>
      </c>
      <c r="J296" t="str">
        <f>IFERROR(_xlfn.CONCAT((VLOOKUP($A296,'Consolidate List'!$A$2:$P$1048576,5,FALSE)),", ",VLOOKUP($A296,'Consolidate List'!$A$2:$P$1048576,6,FALSE)),"")</f>
        <v/>
      </c>
      <c r="K296" t="str">
        <f>IFERROR(VLOOKUP($A296,'Consolidate List'!$A$2:$P$1048576,17,FALSE),"")</f>
        <v/>
      </c>
    </row>
    <row r="297" spans="1:11" x14ac:dyDescent="0.35">
      <c r="A297" t="str">
        <f>IFERROR(Tableau1[[#This Row],[ID Unique]],"")</f>
        <v/>
      </c>
      <c r="B297" t="str">
        <f>IFERROR(VLOOKUP($A297,'Consolidate List'!$A$2:$P$1048576,15,FALSE),"")</f>
        <v/>
      </c>
      <c r="C297" t="str">
        <f>IFERROR(VLOOKUP($A297,'Consolidate List'!$A$2:$P$1048576,16,FALSE),"")</f>
        <v/>
      </c>
      <c r="D297" t="str">
        <f>IFERROR(VLOOKUP($A297,'Consolidate List'!$A$2:$P$1048576,8,FALSE),"")</f>
        <v/>
      </c>
      <c r="F297" t="str">
        <f>IFERROR(VLOOKUP($A297,'Consolidate List'!$A$2:$P$1048576,12,FALSE),"")</f>
        <v/>
      </c>
      <c r="G297" t="str">
        <f>IFERROR(VLOOKUP($A297,'Consolidate List'!$A$2:$P$1048576,11,FALSE),"")</f>
        <v/>
      </c>
      <c r="H297" t="str">
        <f>IFERROR(VLOOKUP($A297,'Consolidate List'!$A$2:$P$1048576,9,FALSE),"")</f>
        <v/>
      </c>
      <c r="I297" t="str">
        <f>IFERROR(VLOOKUP($A297,'Consolidate List'!$A$2:$P$1048576,10,FALSE),"")</f>
        <v/>
      </c>
      <c r="J297" t="str">
        <f>IFERROR(_xlfn.CONCAT((VLOOKUP($A297,'Consolidate List'!$A$2:$P$1048576,5,FALSE)),", ",VLOOKUP($A297,'Consolidate List'!$A$2:$P$1048576,6,FALSE)),"")</f>
        <v/>
      </c>
      <c r="K297" t="str">
        <f>IFERROR(VLOOKUP($A297,'Consolidate List'!$A$2:$P$1048576,17,FALSE),"")</f>
        <v/>
      </c>
    </row>
    <row r="298" spans="1:11" x14ac:dyDescent="0.35">
      <c r="A298" t="str">
        <f>IFERROR(Tableau1[[#This Row],[ID Unique]],"")</f>
        <v/>
      </c>
      <c r="B298" t="str">
        <f>IFERROR(VLOOKUP($A298,'Consolidate List'!$A$2:$P$1048576,15,FALSE),"")</f>
        <v/>
      </c>
      <c r="C298" t="str">
        <f>IFERROR(VLOOKUP($A298,'Consolidate List'!$A$2:$P$1048576,16,FALSE),"")</f>
        <v/>
      </c>
      <c r="D298" t="str">
        <f>IFERROR(VLOOKUP($A298,'Consolidate List'!$A$2:$P$1048576,8,FALSE),"")</f>
        <v/>
      </c>
      <c r="F298" t="str">
        <f>IFERROR(VLOOKUP($A298,'Consolidate List'!$A$2:$P$1048576,12,FALSE),"")</f>
        <v/>
      </c>
      <c r="G298" t="str">
        <f>IFERROR(VLOOKUP($A298,'Consolidate List'!$A$2:$P$1048576,11,FALSE),"")</f>
        <v/>
      </c>
      <c r="H298" t="str">
        <f>IFERROR(VLOOKUP($A298,'Consolidate List'!$A$2:$P$1048576,9,FALSE),"")</f>
        <v/>
      </c>
      <c r="I298" t="str">
        <f>IFERROR(VLOOKUP($A298,'Consolidate List'!$A$2:$P$1048576,10,FALSE),"")</f>
        <v/>
      </c>
      <c r="J298" t="str">
        <f>IFERROR(_xlfn.CONCAT((VLOOKUP($A298,'Consolidate List'!$A$2:$P$1048576,5,FALSE)),", ",VLOOKUP($A298,'Consolidate List'!$A$2:$P$1048576,6,FALSE)),"")</f>
        <v/>
      </c>
      <c r="K298" t="str">
        <f>IFERROR(VLOOKUP($A298,'Consolidate List'!$A$2:$P$1048576,17,FALSE),"")</f>
        <v/>
      </c>
    </row>
    <row r="299" spans="1:11" x14ac:dyDescent="0.35">
      <c r="A299" t="str">
        <f>IFERROR(Tableau1[[#This Row],[ID Unique]],"")</f>
        <v/>
      </c>
      <c r="B299" t="str">
        <f>IFERROR(VLOOKUP($A299,'Consolidate List'!$A$2:$P$1048576,15,FALSE),"")</f>
        <v/>
      </c>
      <c r="C299" t="str">
        <f>IFERROR(VLOOKUP($A299,'Consolidate List'!$A$2:$P$1048576,16,FALSE),"")</f>
        <v/>
      </c>
      <c r="D299" t="str">
        <f>IFERROR(VLOOKUP($A299,'Consolidate List'!$A$2:$P$1048576,8,FALSE),"")</f>
        <v/>
      </c>
      <c r="F299" t="str">
        <f>IFERROR(VLOOKUP($A299,'Consolidate List'!$A$2:$P$1048576,12,FALSE),"")</f>
        <v/>
      </c>
      <c r="G299" t="str">
        <f>IFERROR(VLOOKUP($A299,'Consolidate List'!$A$2:$P$1048576,11,FALSE),"")</f>
        <v/>
      </c>
      <c r="H299" t="str">
        <f>IFERROR(VLOOKUP($A299,'Consolidate List'!$A$2:$P$1048576,9,FALSE),"")</f>
        <v/>
      </c>
      <c r="I299" t="str">
        <f>IFERROR(VLOOKUP($A299,'Consolidate List'!$A$2:$P$1048576,10,FALSE),"")</f>
        <v/>
      </c>
      <c r="J299" t="str">
        <f>IFERROR(_xlfn.CONCAT((VLOOKUP($A299,'Consolidate List'!$A$2:$P$1048576,5,FALSE)),", ",VLOOKUP($A299,'Consolidate List'!$A$2:$P$1048576,6,FALSE)),"")</f>
        <v/>
      </c>
      <c r="K299" t="str">
        <f>IFERROR(VLOOKUP($A299,'Consolidate List'!$A$2:$P$1048576,17,FALSE),"")</f>
        <v/>
      </c>
    </row>
    <row r="300" spans="1:11" x14ac:dyDescent="0.35">
      <c r="A300" t="str">
        <f>IFERROR(Tableau1[[#This Row],[ID Unique]],"")</f>
        <v/>
      </c>
      <c r="B300" t="str">
        <f>IFERROR(VLOOKUP($A300,'Consolidate List'!$A$2:$P$1048576,15,FALSE),"")</f>
        <v/>
      </c>
      <c r="C300" t="str">
        <f>IFERROR(VLOOKUP($A300,'Consolidate List'!$A$2:$P$1048576,16,FALSE),"")</f>
        <v/>
      </c>
      <c r="D300" t="str">
        <f>IFERROR(VLOOKUP($A300,'Consolidate List'!$A$2:$P$1048576,8,FALSE),"")</f>
        <v/>
      </c>
      <c r="F300" t="str">
        <f>IFERROR(VLOOKUP($A300,'Consolidate List'!$A$2:$P$1048576,12,FALSE),"")</f>
        <v/>
      </c>
      <c r="G300" t="str">
        <f>IFERROR(VLOOKUP($A300,'Consolidate List'!$A$2:$P$1048576,11,FALSE),"")</f>
        <v/>
      </c>
      <c r="H300" t="str">
        <f>IFERROR(VLOOKUP($A300,'Consolidate List'!$A$2:$P$1048576,9,FALSE),"")</f>
        <v/>
      </c>
      <c r="I300" t="str">
        <f>IFERROR(VLOOKUP($A300,'Consolidate List'!$A$2:$P$1048576,10,FALSE),"")</f>
        <v/>
      </c>
      <c r="J300" t="str">
        <f>IFERROR(_xlfn.CONCAT((VLOOKUP($A300,'Consolidate List'!$A$2:$P$1048576,5,FALSE)),", ",VLOOKUP($A300,'Consolidate List'!$A$2:$P$1048576,6,FALSE)),"")</f>
        <v/>
      </c>
      <c r="K300" t="str">
        <f>IFERROR(VLOOKUP($A300,'Consolidate List'!$A$2:$P$1048576,17,FALSE),"")</f>
        <v/>
      </c>
    </row>
    <row r="301" spans="1:11" x14ac:dyDescent="0.35">
      <c r="A301" t="str">
        <f>IFERROR(Tableau1[[#This Row],[ID Unique]],"")</f>
        <v/>
      </c>
      <c r="B301" t="str">
        <f>IFERROR(VLOOKUP($A301,'Consolidate List'!$A$2:$P$1048576,15,FALSE),"")</f>
        <v/>
      </c>
      <c r="C301" t="str">
        <f>IFERROR(VLOOKUP($A301,'Consolidate List'!$A$2:$P$1048576,16,FALSE),"")</f>
        <v/>
      </c>
      <c r="D301" t="str">
        <f>IFERROR(VLOOKUP($A301,'Consolidate List'!$A$2:$P$1048576,8,FALSE),"")</f>
        <v/>
      </c>
      <c r="F301" t="str">
        <f>IFERROR(VLOOKUP($A301,'Consolidate List'!$A$2:$P$1048576,12,FALSE),"")</f>
        <v/>
      </c>
      <c r="G301" t="str">
        <f>IFERROR(VLOOKUP($A301,'Consolidate List'!$A$2:$P$1048576,11,FALSE),"")</f>
        <v/>
      </c>
      <c r="H301" t="str">
        <f>IFERROR(VLOOKUP($A301,'Consolidate List'!$A$2:$P$1048576,9,FALSE),"")</f>
        <v/>
      </c>
      <c r="I301" t="str">
        <f>IFERROR(VLOOKUP($A301,'Consolidate List'!$A$2:$P$1048576,10,FALSE),"")</f>
        <v/>
      </c>
      <c r="J301" t="str">
        <f>IFERROR(_xlfn.CONCAT((VLOOKUP($A301,'Consolidate List'!$A$2:$P$1048576,5,FALSE)),", ",VLOOKUP($A301,'Consolidate List'!$A$2:$P$1048576,6,FALSE)),"")</f>
        <v/>
      </c>
      <c r="K301" t="str">
        <f>IFERROR(VLOOKUP($A301,'Consolidate List'!$A$2:$P$1048576,17,FALSE),"")</f>
        <v/>
      </c>
    </row>
    <row r="302" spans="1:11" x14ac:dyDescent="0.35">
      <c r="A302" t="str">
        <f>IFERROR(Tableau1[[#This Row],[ID Unique]],"")</f>
        <v/>
      </c>
      <c r="B302" t="str">
        <f>IFERROR(VLOOKUP($A302,'Consolidate List'!$A$2:$P$1048576,15,FALSE),"")</f>
        <v/>
      </c>
      <c r="C302" t="str">
        <f>IFERROR(VLOOKUP($A302,'Consolidate List'!$A$2:$P$1048576,16,FALSE),"")</f>
        <v/>
      </c>
      <c r="D302" t="str">
        <f>IFERROR(VLOOKUP($A302,'Consolidate List'!$A$2:$P$1048576,8,FALSE),"")</f>
        <v/>
      </c>
      <c r="F302" t="str">
        <f>IFERROR(VLOOKUP($A302,'Consolidate List'!$A$2:$P$1048576,12,FALSE),"")</f>
        <v/>
      </c>
      <c r="G302" t="str">
        <f>IFERROR(VLOOKUP($A302,'Consolidate List'!$A$2:$P$1048576,11,FALSE),"")</f>
        <v/>
      </c>
      <c r="H302" t="str">
        <f>IFERROR(VLOOKUP($A302,'Consolidate List'!$A$2:$P$1048576,9,FALSE),"")</f>
        <v/>
      </c>
      <c r="I302" t="str">
        <f>IFERROR(VLOOKUP($A302,'Consolidate List'!$A$2:$P$1048576,10,FALSE),"")</f>
        <v/>
      </c>
      <c r="J302" t="str">
        <f>IFERROR(_xlfn.CONCAT((VLOOKUP($A302,'Consolidate List'!$A$2:$P$1048576,5,FALSE)),", ",VLOOKUP($A302,'Consolidate List'!$A$2:$P$1048576,6,FALSE)),"")</f>
        <v/>
      </c>
      <c r="K302" t="str">
        <f>IFERROR(VLOOKUP($A302,'Consolidate List'!$A$2:$P$1048576,17,FALSE),"")</f>
        <v/>
      </c>
    </row>
    <row r="303" spans="1:11" x14ac:dyDescent="0.35">
      <c r="A303" t="str">
        <f>IFERROR(Tableau1[[#This Row],[ID Unique]],"")</f>
        <v/>
      </c>
      <c r="B303" t="str">
        <f>IFERROR(VLOOKUP($A303,'Consolidate List'!$A$2:$P$1048576,15,FALSE),"")</f>
        <v/>
      </c>
      <c r="C303" t="str">
        <f>IFERROR(VLOOKUP($A303,'Consolidate List'!$A$2:$P$1048576,16,FALSE),"")</f>
        <v/>
      </c>
      <c r="D303" t="str">
        <f>IFERROR(VLOOKUP($A303,'Consolidate List'!$A$2:$P$1048576,8,FALSE),"")</f>
        <v/>
      </c>
      <c r="F303" t="str">
        <f>IFERROR(VLOOKUP($A303,'Consolidate List'!$A$2:$P$1048576,12,FALSE),"")</f>
        <v/>
      </c>
      <c r="G303" t="str">
        <f>IFERROR(VLOOKUP($A303,'Consolidate List'!$A$2:$P$1048576,11,FALSE),"")</f>
        <v/>
      </c>
      <c r="H303" t="str">
        <f>IFERROR(VLOOKUP($A303,'Consolidate List'!$A$2:$P$1048576,9,FALSE),"")</f>
        <v/>
      </c>
      <c r="I303" t="str">
        <f>IFERROR(VLOOKUP($A303,'Consolidate List'!$A$2:$P$1048576,10,FALSE),"")</f>
        <v/>
      </c>
      <c r="J303" t="str">
        <f>IFERROR(_xlfn.CONCAT((VLOOKUP($A303,'Consolidate List'!$A$2:$P$1048576,5,FALSE)),", ",VLOOKUP($A303,'Consolidate List'!$A$2:$P$1048576,6,FALSE)),"")</f>
        <v/>
      </c>
      <c r="K303" t="str">
        <f>IFERROR(VLOOKUP($A303,'Consolidate List'!$A$2:$P$1048576,17,FALSE),"")</f>
        <v/>
      </c>
    </row>
    <row r="304" spans="1:11" x14ac:dyDescent="0.35">
      <c r="A304" t="str">
        <f>IFERROR(Tableau1[[#This Row],[ID Unique]],"")</f>
        <v/>
      </c>
      <c r="B304" t="str">
        <f>IFERROR(VLOOKUP($A304,'Consolidate List'!$A$2:$P$1048576,15,FALSE),"")</f>
        <v/>
      </c>
      <c r="C304" t="str">
        <f>IFERROR(VLOOKUP($A304,'Consolidate List'!$A$2:$P$1048576,16,FALSE),"")</f>
        <v/>
      </c>
      <c r="D304" t="str">
        <f>IFERROR(VLOOKUP($A304,'Consolidate List'!$A$2:$P$1048576,8,FALSE),"")</f>
        <v/>
      </c>
      <c r="F304" t="str">
        <f>IFERROR(VLOOKUP($A304,'Consolidate List'!$A$2:$P$1048576,12,FALSE),"")</f>
        <v/>
      </c>
      <c r="G304" t="str">
        <f>IFERROR(VLOOKUP($A304,'Consolidate List'!$A$2:$P$1048576,11,FALSE),"")</f>
        <v/>
      </c>
      <c r="H304" t="str">
        <f>IFERROR(VLOOKUP($A304,'Consolidate List'!$A$2:$P$1048576,9,FALSE),"")</f>
        <v/>
      </c>
      <c r="I304" t="str">
        <f>IFERROR(VLOOKUP($A304,'Consolidate List'!$A$2:$P$1048576,10,FALSE),"")</f>
        <v/>
      </c>
      <c r="J304" t="str">
        <f>IFERROR(_xlfn.CONCAT((VLOOKUP($A304,'Consolidate List'!$A$2:$P$1048576,5,FALSE)),", ",VLOOKUP($A304,'Consolidate List'!$A$2:$P$1048576,6,FALSE)),"")</f>
        <v/>
      </c>
      <c r="K304" t="str">
        <f>IFERROR(VLOOKUP($A304,'Consolidate List'!$A$2:$P$1048576,17,FALSE),"")</f>
        <v/>
      </c>
    </row>
    <row r="305" spans="1:11" x14ac:dyDescent="0.35">
      <c r="A305" t="str">
        <f>IFERROR(Tableau1[[#This Row],[ID Unique]],"")</f>
        <v/>
      </c>
      <c r="B305" t="str">
        <f>IFERROR(VLOOKUP($A305,'Consolidate List'!$A$2:$P$1048576,15,FALSE),"")</f>
        <v/>
      </c>
      <c r="C305" t="str">
        <f>IFERROR(VLOOKUP($A305,'Consolidate List'!$A$2:$P$1048576,16,FALSE),"")</f>
        <v/>
      </c>
      <c r="D305" t="str">
        <f>IFERROR(VLOOKUP($A305,'Consolidate List'!$A$2:$P$1048576,8,FALSE),"")</f>
        <v/>
      </c>
      <c r="F305" t="str">
        <f>IFERROR(VLOOKUP($A305,'Consolidate List'!$A$2:$P$1048576,12,FALSE),"")</f>
        <v/>
      </c>
      <c r="G305" t="str">
        <f>IFERROR(VLOOKUP($A305,'Consolidate List'!$A$2:$P$1048576,11,FALSE),"")</f>
        <v/>
      </c>
      <c r="H305" t="str">
        <f>IFERROR(VLOOKUP($A305,'Consolidate List'!$A$2:$P$1048576,9,FALSE),"")</f>
        <v/>
      </c>
      <c r="I305" t="str">
        <f>IFERROR(VLOOKUP($A305,'Consolidate List'!$A$2:$P$1048576,10,FALSE),"")</f>
        <v/>
      </c>
      <c r="J305" t="str">
        <f>IFERROR(_xlfn.CONCAT((VLOOKUP($A305,'Consolidate List'!$A$2:$P$1048576,5,FALSE)),", ",VLOOKUP($A305,'Consolidate List'!$A$2:$P$1048576,6,FALSE)),"")</f>
        <v/>
      </c>
      <c r="K305" t="str">
        <f>IFERROR(VLOOKUP($A305,'Consolidate List'!$A$2:$P$1048576,17,FALSE),"")</f>
        <v/>
      </c>
    </row>
    <row r="306" spans="1:11" x14ac:dyDescent="0.35">
      <c r="A306" t="str">
        <f>IFERROR(Tableau1[[#This Row],[ID Unique]],"")</f>
        <v/>
      </c>
      <c r="B306" t="str">
        <f>IFERROR(VLOOKUP($A306,'Consolidate List'!$A$2:$P$1048576,15,FALSE),"")</f>
        <v/>
      </c>
      <c r="C306" t="str">
        <f>IFERROR(VLOOKUP($A306,'Consolidate List'!$A$2:$P$1048576,16,FALSE),"")</f>
        <v/>
      </c>
      <c r="D306" t="str">
        <f>IFERROR(VLOOKUP($A306,'Consolidate List'!$A$2:$P$1048576,8,FALSE),"")</f>
        <v/>
      </c>
      <c r="F306" t="str">
        <f>IFERROR(VLOOKUP($A306,'Consolidate List'!$A$2:$P$1048576,12,FALSE),"")</f>
        <v/>
      </c>
      <c r="G306" t="str">
        <f>IFERROR(VLOOKUP($A306,'Consolidate List'!$A$2:$P$1048576,11,FALSE),"")</f>
        <v/>
      </c>
      <c r="H306" t="str">
        <f>IFERROR(VLOOKUP($A306,'Consolidate List'!$A$2:$P$1048576,9,FALSE),"")</f>
        <v/>
      </c>
      <c r="I306" t="str">
        <f>IFERROR(VLOOKUP($A306,'Consolidate List'!$A$2:$P$1048576,10,FALSE),"")</f>
        <v/>
      </c>
      <c r="J306" t="str">
        <f>IFERROR(_xlfn.CONCAT((VLOOKUP($A306,'Consolidate List'!$A$2:$P$1048576,5,FALSE)),", ",VLOOKUP($A306,'Consolidate List'!$A$2:$P$1048576,6,FALSE)),"")</f>
        <v/>
      </c>
      <c r="K306" t="str">
        <f>IFERROR(VLOOKUP($A306,'Consolidate List'!$A$2:$P$1048576,17,FALSE),"")</f>
        <v/>
      </c>
    </row>
    <row r="307" spans="1:11" x14ac:dyDescent="0.35">
      <c r="A307" t="str">
        <f>IFERROR(Tableau1[[#This Row],[ID Unique]],"")</f>
        <v/>
      </c>
      <c r="B307" t="str">
        <f>IFERROR(VLOOKUP($A307,'Consolidate List'!$A$2:$P$1048576,15,FALSE),"")</f>
        <v/>
      </c>
      <c r="C307" t="str">
        <f>IFERROR(VLOOKUP($A307,'Consolidate List'!$A$2:$P$1048576,16,FALSE),"")</f>
        <v/>
      </c>
      <c r="D307" t="str">
        <f>IFERROR(VLOOKUP($A307,'Consolidate List'!$A$2:$P$1048576,8,FALSE),"")</f>
        <v/>
      </c>
      <c r="F307" t="str">
        <f>IFERROR(VLOOKUP($A307,'Consolidate List'!$A$2:$P$1048576,12,FALSE),"")</f>
        <v/>
      </c>
      <c r="G307" t="str">
        <f>IFERROR(VLOOKUP($A307,'Consolidate List'!$A$2:$P$1048576,11,FALSE),"")</f>
        <v/>
      </c>
      <c r="H307" t="str">
        <f>IFERROR(VLOOKUP($A307,'Consolidate List'!$A$2:$P$1048576,9,FALSE),"")</f>
        <v/>
      </c>
      <c r="I307" t="str">
        <f>IFERROR(VLOOKUP($A307,'Consolidate List'!$A$2:$P$1048576,10,FALSE),"")</f>
        <v/>
      </c>
      <c r="J307" t="str">
        <f>IFERROR(_xlfn.CONCAT((VLOOKUP($A307,'Consolidate List'!$A$2:$P$1048576,5,FALSE)),", ",VLOOKUP($A307,'Consolidate List'!$A$2:$P$1048576,6,FALSE)),"")</f>
        <v/>
      </c>
      <c r="K307" t="str">
        <f>IFERROR(VLOOKUP($A307,'Consolidate List'!$A$2:$P$1048576,17,FALSE),"")</f>
        <v/>
      </c>
    </row>
    <row r="308" spans="1:11" x14ac:dyDescent="0.35">
      <c r="A308" t="str">
        <f>IFERROR(Tableau1[[#This Row],[ID Unique]],"")</f>
        <v/>
      </c>
      <c r="B308" t="str">
        <f>IFERROR(VLOOKUP($A308,'Consolidate List'!$A$2:$P$1048576,15,FALSE),"")</f>
        <v/>
      </c>
      <c r="C308" t="str">
        <f>IFERROR(VLOOKUP($A308,'Consolidate List'!$A$2:$P$1048576,16,FALSE),"")</f>
        <v/>
      </c>
      <c r="D308" t="str">
        <f>IFERROR(VLOOKUP($A308,'Consolidate List'!$A$2:$P$1048576,8,FALSE),"")</f>
        <v/>
      </c>
      <c r="F308" t="str">
        <f>IFERROR(VLOOKUP($A308,'Consolidate List'!$A$2:$P$1048576,12,FALSE),"")</f>
        <v/>
      </c>
      <c r="G308" t="str">
        <f>IFERROR(VLOOKUP($A308,'Consolidate List'!$A$2:$P$1048576,11,FALSE),"")</f>
        <v/>
      </c>
      <c r="H308" t="str">
        <f>IFERROR(VLOOKUP($A308,'Consolidate List'!$A$2:$P$1048576,9,FALSE),"")</f>
        <v/>
      </c>
      <c r="I308" t="str">
        <f>IFERROR(VLOOKUP($A308,'Consolidate List'!$A$2:$P$1048576,10,FALSE),"")</f>
        <v/>
      </c>
      <c r="J308" t="str">
        <f>IFERROR(_xlfn.CONCAT((VLOOKUP($A308,'Consolidate List'!$A$2:$P$1048576,5,FALSE)),", ",VLOOKUP($A308,'Consolidate List'!$A$2:$P$1048576,6,FALSE)),"")</f>
        <v/>
      </c>
      <c r="K308" t="str">
        <f>IFERROR(VLOOKUP($A308,'Consolidate List'!$A$2:$P$1048576,17,FALSE),"")</f>
        <v/>
      </c>
    </row>
    <row r="309" spans="1:11" x14ac:dyDescent="0.35">
      <c r="A309" t="str">
        <f>IFERROR(Tableau1[[#This Row],[ID Unique]],"")</f>
        <v/>
      </c>
      <c r="B309" t="str">
        <f>IFERROR(VLOOKUP($A309,'Consolidate List'!$A$2:$P$1048576,15,FALSE),"")</f>
        <v/>
      </c>
      <c r="C309" t="str">
        <f>IFERROR(VLOOKUP($A309,'Consolidate List'!$A$2:$P$1048576,16,FALSE),"")</f>
        <v/>
      </c>
      <c r="D309" t="str">
        <f>IFERROR(VLOOKUP($A309,'Consolidate List'!$A$2:$P$1048576,8,FALSE),"")</f>
        <v/>
      </c>
      <c r="F309" t="str">
        <f>IFERROR(VLOOKUP($A309,'Consolidate List'!$A$2:$P$1048576,12,FALSE),"")</f>
        <v/>
      </c>
      <c r="G309" t="str">
        <f>IFERROR(VLOOKUP($A309,'Consolidate List'!$A$2:$P$1048576,11,FALSE),"")</f>
        <v/>
      </c>
      <c r="H309" t="str">
        <f>IFERROR(VLOOKUP($A309,'Consolidate List'!$A$2:$P$1048576,9,FALSE),"")</f>
        <v/>
      </c>
      <c r="I309" t="str">
        <f>IFERROR(VLOOKUP($A309,'Consolidate List'!$A$2:$P$1048576,10,FALSE),"")</f>
        <v/>
      </c>
      <c r="J309" t="str">
        <f>IFERROR(_xlfn.CONCAT((VLOOKUP($A309,'Consolidate List'!$A$2:$P$1048576,5,FALSE)),", ",VLOOKUP($A309,'Consolidate List'!$A$2:$P$1048576,6,FALSE)),"")</f>
        <v/>
      </c>
      <c r="K309" t="str">
        <f>IFERROR(VLOOKUP($A309,'Consolidate List'!$A$2:$P$1048576,17,FALSE),"")</f>
        <v/>
      </c>
    </row>
    <row r="310" spans="1:11" x14ac:dyDescent="0.35">
      <c r="A310" t="str">
        <f>IFERROR(Tableau1[[#This Row],[ID Unique]],"")</f>
        <v/>
      </c>
      <c r="B310" t="str">
        <f>IFERROR(VLOOKUP($A310,'Consolidate List'!$A$2:$P$1048576,15,FALSE),"")</f>
        <v/>
      </c>
      <c r="C310" t="str">
        <f>IFERROR(VLOOKUP($A310,'Consolidate List'!$A$2:$P$1048576,16,FALSE),"")</f>
        <v/>
      </c>
      <c r="D310" t="str">
        <f>IFERROR(VLOOKUP($A310,'Consolidate List'!$A$2:$P$1048576,8,FALSE),"")</f>
        <v/>
      </c>
      <c r="F310" t="str">
        <f>IFERROR(VLOOKUP($A310,'Consolidate List'!$A$2:$P$1048576,12,FALSE),"")</f>
        <v/>
      </c>
      <c r="G310" t="str">
        <f>IFERROR(VLOOKUP($A310,'Consolidate List'!$A$2:$P$1048576,11,FALSE),"")</f>
        <v/>
      </c>
      <c r="H310" t="str">
        <f>IFERROR(VLOOKUP($A310,'Consolidate List'!$A$2:$P$1048576,9,FALSE),"")</f>
        <v/>
      </c>
      <c r="I310" t="str">
        <f>IFERROR(VLOOKUP($A310,'Consolidate List'!$A$2:$P$1048576,10,FALSE),"")</f>
        <v/>
      </c>
      <c r="J310" t="str">
        <f>IFERROR(_xlfn.CONCAT((VLOOKUP($A310,'Consolidate List'!$A$2:$P$1048576,5,FALSE)),", ",VLOOKUP($A310,'Consolidate List'!$A$2:$P$1048576,6,FALSE)),"")</f>
        <v/>
      </c>
      <c r="K310" t="str">
        <f>IFERROR(VLOOKUP($A310,'Consolidate List'!$A$2:$P$1048576,17,FALSE),"")</f>
        <v/>
      </c>
    </row>
    <row r="311" spans="1:11" x14ac:dyDescent="0.35">
      <c r="A311" t="str">
        <f>IFERROR(Tableau1[[#This Row],[ID Unique]],"")</f>
        <v/>
      </c>
      <c r="B311" t="str">
        <f>IFERROR(VLOOKUP($A311,'Consolidate List'!$A$2:$P$1048576,15,FALSE),"")</f>
        <v/>
      </c>
      <c r="C311" t="str">
        <f>IFERROR(VLOOKUP($A311,'Consolidate List'!$A$2:$P$1048576,16,FALSE),"")</f>
        <v/>
      </c>
      <c r="D311" t="str">
        <f>IFERROR(VLOOKUP($A311,'Consolidate List'!$A$2:$P$1048576,8,FALSE),"")</f>
        <v/>
      </c>
      <c r="F311" t="str">
        <f>IFERROR(VLOOKUP($A311,'Consolidate List'!$A$2:$P$1048576,12,FALSE),"")</f>
        <v/>
      </c>
      <c r="G311" t="str">
        <f>IFERROR(VLOOKUP($A311,'Consolidate List'!$A$2:$P$1048576,11,FALSE),"")</f>
        <v/>
      </c>
      <c r="H311" t="str">
        <f>IFERROR(VLOOKUP($A311,'Consolidate List'!$A$2:$P$1048576,9,FALSE),"")</f>
        <v/>
      </c>
      <c r="I311" t="str">
        <f>IFERROR(VLOOKUP($A311,'Consolidate List'!$A$2:$P$1048576,10,FALSE),"")</f>
        <v/>
      </c>
      <c r="J311" t="str">
        <f>IFERROR(_xlfn.CONCAT((VLOOKUP($A311,'Consolidate List'!$A$2:$P$1048576,5,FALSE)),", ",VLOOKUP($A311,'Consolidate List'!$A$2:$P$1048576,6,FALSE)),"")</f>
        <v/>
      </c>
      <c r="K311" t="str">
        <f>IFERROR(VLOOKUP($A311,'Consolidate List'!$A$2:$P$1048576,17,FALSE),"")</f>
        <v/>
      </c>
    </row>
    <row r="312" spans="1:11" x14ac:dyDescent="0.35">
      <c r="A312" t="str">
        <f>IFERROR(Tableau1[[#This Row],[ID Unique]],"")</f>
        <v/>
      </c>
      <c r="B312" t="str">
        <f>IFERROR(VLOOKUP($A312,'Consolidate List'!$A$2:$P$1048576,15,FALSE),"")</f>
        <v/>
      </c>
      <c r="C312" t="str">
        <f>IFERROR(VLOOKUP($A312,'Consolidate List'!$A$2:$P$1048576,16,FALSE),"")</f>
        <v/>
      </c>
      <c r="D312" t="str">
        <f>IFERROR(VLOOKUP($A312,'Consolidate List'!$A$2:$P$1048576,8,FALSE),"")</f>
        <v/>
      </c>
      <c r="F312" t="str">
        <f>IFERROR(VLOOKUP($A312,'Consolidate List'!$A$2:$P$1048576,12,FALSE),"")</f>
        <v/>
      </c>
      <c r="G312" t="str">
        <f>IFERROR(VLOOKUP($A312,'Consolidate List'!$A$2:$P$1048576,11,FALSE),"")</f>
        <v/>
      </c>
      <c r="H312" t="str">
        <f>IFERROR(VLOOKUP($A312,'Consolidate List'!$A$2:$P$1048576,9,FALSE),"")</f>
        <v/>
      </c>
      <c r="I312" t="str">
        <f>IFERROR(VLOOKUP($A312,'Consolidate List'!$A$2:$P$1048576,10,FALSE),"")</f>
        <v/>
      </c>
      <c r="J312" t="str">
        <f>IFERROR(_xlfn.CONCAT((VLOOKUP($A312,'Consolidate List'!$A$2:$P$1048576,5,FALSE)),", ",VLOOKUP($A312,'Consolidate List'!$A$2:$P$1048576,6,FALSE)),"")</f>
        <v/>
      </c>
      <c r="K312" t="str">
        <f>IFERROR(VLOOKUP($A312,'Consolidate List'!$A$2:$P$1048576,17,FALSE),"")</f>
        <v/>
      </c>
    </row>
    <row r="313" spans="1:11" x14ac:dyDescent="0.35">
      <c r="A313" t="str">
        <f>IFERROR(Tableau1[[#This Row],[ID Unique]],"")</f>
        <v/>
      </c>
      <c r="B313" t="str">
        <f>IFERROR(VLOOKUP($A313,'Consolidate List'!$A$2:$P$1048576,15,FALSE),"")</f>
        <v/>
      </c>
      <c r="C313" t="str">
        <f>IFERROR(VLOOKUP($A313,'Consolidate List'!$A$2:$P$1048576,16,FALSE),"")</f>
        <v/>
      </c>
      <c r="D313" t="str">
        <f>IFERROR(VLOOKUP($A313,'Consolidate List'!$A$2:$P$1048576,8,FALSE),"")</f>
        <v/>
      </c>
      <c r="F313" t="str">
        <f>IFERROR(VLOOKUP($A313,'Consolidate List'!$A$2:$P$1048576,12,FALSE),"")</f>
        <v/>
      </c>
      <c r="G313" t="str">
        <f>IFERROR(VLOOKUP($A313,'Consolidate List'!$A$2:$P$1048576,11,FALSE),"")</f>
        <v/>
      </c>
      <c r="H313" t="str">
        <f>IFERROR(VLOOKUP($A313,'Consolidate List'!$A$2:$P$1048576,9,FALSE),"")</f>
        <v/>
      </c>
      <c r="I313" t="str">
        <f>IFERROR(VLOOKUP($A313,'Consolidate List'!$A$2:$P$1048576,10,FALSE),"")</f>
        <v/>
      </c>
      <c r="J313" t="str">
        <f>IFERROR(_xlfn.CONCAT((VLOOKUP($A313,'Consolidate List'!$A$2:$P$1048576,5,FALSE)),", ",VLOOKUP($A313,'Consolidate List'!$A$2:$P$1048576,6,FALSE)),"")</f>
        <v/>
      </c>
      <c r="K313" t="str">
        <f>IFERROR(VLOOKUP($A313,'Consolidate List'!$A$2:$P$1048576,17,FALSE),"")</f>
        <v/>
      </c>
    </row>
    <row r="314" spans="1:11" x14ac:dyDescent="0.35">
      <c r="A314" t="str">
        <f>IFERROR(Tableau1[[#This Row],[ID Unique]],"")</f>
        <v/>
      </c>
      <c r="B314" t="str">
        <f>IFERROR(VLOOKUP($A314,'Consolidate List'!$A$2:$P$1048576,15,FALSE),"")</f>
        <v/>
      </c>
      <c r="C314" t="str">
        <f>IFERROR(VLOOKUP($A314,'Consolidate List'!$A$2:$P$1048576,16,FALSE),"")</f>
        <v/>
      </c>
      <c r="D314" t="str">
        <f>IFERROR(VLOOKUP($A314,'Consolidate List'!$A$2:$P$1048576,8,FALSE),"")</f>
        <v/>
      </c>
      <c r="F314" t="str">
        <f>IFERROR(VLOOKUP($A314,'Consolidate List'!$A$2:$P$1048576,12,FALSE),"")</f>
        <v/>
      </c>
      <c r="G314" t="str">
        <f>IFERROR(VLOOKUP($A314,'Consolidate List'!$A$2:$P$1048576,11,FALSE),"")</f>
        <v/>
      </c>
      <c r="H314" t="str">
        <f>IFERROR(VLOOKUP($A314,'Consolidate List'!$A$2:$P$1048576,9,FALSE),"")</f>
        <v/>
      </c>
      <c r="I314" t="str">
        <f>IFERROR(VLOOKUP($A314,'Consolidate List'!$A$2:$P$1048576,10,FALSE),"")</f>
        <v/>
      </c>
      <c r="J314" t="str">
        <f>IFERROR(_xlfn.CONCAT((VLOOKUP($A314,'Consolidate List'!$A$2:$P$1048576,5,FALSE)),", ",VLOOKUP($A314,'Consolidate List'!$A$2:$P$1048576,6,FALSE)),"")</f>
        <v/>
      </c>
      <c r="K314" t="str">
        <f>IFERROR(VLOOKUP($A314,'Consolidate List'!$A$2:$P$1048576,17,FALSE),"")</f>
        <v/>
      </c>
    </row>
    <row r="315" spans="1:11" x14ac:dyDescent="0.35">
      <c r="A315" t="str">
        <f>IFERROR(Tableau1[[#This Row],[ID Unique]],"")</f>
        <v/>
      </c>
      <c r="B315" t="str">
        <f>IFERROR(VLOOKUP($A315,'Consolidate List'!$A$2:$P$1048576,15,FALSE),"")</f>
        <v/>
      </c>
      <c r="C315" t="str">
        <f>IFERROR(VLOOKUP($A315,'Consolidate List'!$A$2:$P$1048576,16,FALSE),"")</f>
        <v/>
      </c>
      <c r="D315" t="str">
        <f>IFERROR(VLOOKUP($A315,'Consolidate List'!$A$2:$P$1048576,8,FALSE),"")</f>
        <v/>
      </c>
      <c r="F315" t="str">
        <f>IFERROR(VLOOKUP($A315,'Consolidate List'!$A$2:$P$1048576,12,FALSE),"")</f>
        <v/>
      </c>
      <c r="G315" t="str">
        <f>IFERROR(VLOOKUP($A315,'Consolidate List'!$A$2:$P$1048576,11,FALSE),"")</f>
        <v/>
      </c>
      <c r="H315" t="str">
        <f>IFERROR(VLOOKUP($A315,'Consolidate List'!$A$2:$P$1048576,9,FALSE),"")</f>
        <v/>
      </c>
      <c r="I315" t="str">
        <f>IFERROR(VLOOKUP($A315,'Consolidate List'!$A$2:$P$1048576,10,FALSE),"")</f>
        <v/>
      </c>
      <c r="J315" t="str">
        <f>IFERROR(_xlfn.CONCAT((VLOOKUP($A315,'Consolidate List'!$A$2:$P$1048576,5,FALSE)),", ",VLOOKUP($A315,'Consolidate List'!$A$2:$P$1048576,6,FALSE)),"")</f>
        <v/>
      </c>
      <c r="K315" t="str">
        <f>IFERROR(VLOOKUP($A315,'Consolidate List'!$A$2:$P$1048576,17,FALSE),"")</f>
        <v/>
      </c>
    </row>
    <row r="316" spans="1:11" x14ac:dyDescent="0.35">
      <c r="A316" t="str">
        <f>IFERROR(Tableau1[[#This Row],[ID Unique]],"")</f>
        <v/>
      </c>
      <c r="B316" t="str">
        <f>IFERROR(VLOOKUP($A316,'Consolidate List'!$A$2:$P$1048576,15,FALSE),"")</f>
        <v/>
      </c>
      <c r="C316" t="str">
        <f>IFERROR(VLOOKUP($A316,'Consolidate List'!$A$2:$P$1048576,16,FALSE),"")</f>
        <v/>
      </c>
      <c r="D316" t="str">
        <f>IFERROR(VLOOKUP($A316,'Consolidate List'!$A$2:$P$1048576,8,FALSE),"")</f>
        <v/>
      </c>
      <c r="F316" t="str">
        <f>IFERROR(VLOOKUP($A316,'Consolidate List'!$A$2:$P$1048576,12,FALSE),"")</f>
        <v/>
      </c>
      <c r="G316" t="str">
        <f>IFERROR(VLOOKUP($A316,'Consolidate List'!$A$2:$P$1048576,11,FALSE),"")</f>
        <v/>
      </c>
      <c r="H316" t="str">
        <f>IFERROR(VLOOKUP($A316,'Consolidate List'!$A$2:$P$1048576,9,FALSE),"")</f>
        <v/>
      </c>
      <c r="I316" t="str">
        <f>IFERROR(VLOOKUP($A316,'Consolidate List'!$A$2:$P$1048576,10,FALSE),"")</f>
        <v/>
      </c>
      <c r="J316" t="str">
        <f>IFERROR(_xlfn.CONCAT((VLOOKUP($A316,'Consolidate List'!$A$2:$P$1048576,5,FALSE)),", ",VLOOKUP($A316,'Consolidate List'!$A$2:$P$1048576,6,FALSE)),"")</f>
        <v/>
      </c>
      <c r="K316" t="str">
        <f>IFERROR(VLOOKUP($A316,'Consolidate List'!$A$2:$P$1048576,17,FALSE),"")</f>
        <v/>
      </c>
    </row>
    <row r="317" spans="1:11" x14ac:dyDescent="0.35">
      <c r="A317" t="str">
        <f>IFERROR(Tableau1[[#This Row],[ID Unique]],"")</f>
        <v/>
      </c>
      <c r="B317" t="str">
        <f>IFERROR(VLOOKUP($A317,'Consolidate List'!$A$2:$P$1048576,15,FALSE),"")</f>
        <v/>
      </c>
      <c r="C317" t="str">
        <f>IFERROR(VLOOKUP($A317,'Consolidate List'!$A$2:$P$1048576,16,FALSE),"")</f>
        <v/>
      </c>
      <c r="D317" t="str">
        <f>IFERROR(VLOOKUP($A317,'Consolidate List'!$A$2:$P$1048576,8,FALSE),"")</f>
        <v/>
      </c>
      <c r="F317" t="str">
        <f>IFERROR(VLOOKUP($A317,'Consolidate List'!$A$2:$P$1048576,12,FALSE),"")</f>
        <v/>
      </c>
      <c r="G317" t="str">
        <f>IFERROR(VLOOKUP($A317,'Consolidate List'!$A$2:$P$1048576,11,FALSE),"")</f>
        <v/>
      </c>
      <c r="H317" t="str">
        <f>IFERROR(VLOOKUP($A317,'Consolidate List'!$A$2:$P$1048576,9,FALSE),"")</f>
        <v/>
      </c>
      <c r="I317" t="str">
        <f>IFERROR(VLOOKUP($A317,'Consolidate List'!$A$2:$P$1048576,10,FALSE),"")</f>
        <v/>
      </c>
      <c r="J317" t="str">
        <f>IFERROR(_xlfn.CONCAT((VLOOKUP($A317,'Consolidate List'!$A$2:$P$1048576,5,FALSE)),", ",VLOOKUP($A317,'Consolidate List'!$A$2:$P$1048576,6,FALSE)),"")</f>
        <v/>
      </c>
      <c r="K317" t="str">
        <f>IFERROR(VLOOKUP($A317,'Consolidate List'!$A$2:$P$1048576,17,FALSE),"")</f>
        <v/>
      </c>
    </row>
    <row r="318" spans="1:11" x14ac:dyDescent="0.35">
      <c r="A318" t="str">
        <f>IFERROR(Tableau1[[#This Row],[ID Unique]],"")</f>
        <v/>
      </c>
      <c r="B318" t="str">
        <f>IFERROR(VLOOKUP($A318,'Consolidate List'!$A$2:$P$1048576,15,FALSE),"")</f>
        <v/>
      </c>
      <c r="C318" t="str">
        <f>IFERROR(VLOOKUP($A318,'Consolidate List'!$A$2:$P$1048576,16,FALSE),"")</f>
        <v/>
      </c>
      <c r="D318" t="str">
        <f>IFERROR(VLOOKUP($A318,'Consolidate List'!$A$2:$P$1048576,8,FALSE),"")</f>
        <v/>
      </c>
      <c r="F318" t="str">
        <f>IFERROR(VLOOKUP($A318,'Consolidate List'!$A$2:$P$1048576,12,FALSE),"")</f>
        <v/>
      </c>
      <c r="G318" t="str">
        <f>IFERROR(VLOOKUP($A318,'Consolidate List'!$A$2:$P$1048576,11,FALSE),"")</f>
        <v/>
      </c>
      <c r="H318" t="str">
        <f>IFERROR(VLOOKUP($A318,'Consolidate List'!$A$2:$P$1048576,9,FALSE),"")</f>
        <v/>
      </c>
      <c r="I318" t="str">
        <f>IFERROR(VLOOKUP($A318,'Consolidate List'!$A$2:$P$1048576,10,FALSE),"")</f>
        <v/>
      </c>
      <c r="J318" t="str">
        <f>IFERROR(_xlfn.CONCAT((VLOOKUP($A318,'Consolidate List'!$A$2:$P$1048576,5,FALSE)),", ",VLOOKUP($A318,'Consolidate List'!$A$2:$P$1048576,6,FALSE)),"")</f>
        <v/>
      </c>
      <c r="K318" t="str">
        <f>IFERROR(VLOOKUP($A318,'Consolidate List'!$A$2:$P$1048576,17,FALSE),"")</f>
        <v/>
      </c>
    </row>
    <row r="319" spans="1:11" x14ac:dyDescent="0.35">
      <c r="A319" t="str">
        <f>IFERROR(Tableau1[[#This Row],[ID Unique]],"")</f>
        <v/>
      </c>
      <c r="B319" t="str">
        <f>IFERROR(VLOOKUP($A319,'Consolidate List'!$A$2:$P$1048576,15,FALSE),"")</f>
        <v/>
      </c>
      <c r="C319" t="str">
        <f>IFERROR(VLOOKUP($A319,'Consolidate List'!$A$2:$P$1048576,16,FALSE),"")</f>
        <v/>
      </c>
      <c r="D319" t="str">
        <f>IFERROR(VLOOKUP($A319,'Consolidate List'!$A$2:$P$1048576,8,FALSE),"")</f>
        <v/>
      </c>
      <c r="F319" t="str">
        <f>IFERROR(VLOOKUP($A319,'Consolidate List'!$A$2:$P$1048576,12,FALSE),"")</f>
        <v/>
      </c>
      <c r="G319" t="str">
        <f>IFERROR(VLOOKUP($A319,'Consolidate List'!$A$2:$P$1048576,11,FALSE),"")</f>
        <v/>
      </c>
      <c r="H319" t="str">
        <f>IFERROR(VLOOKUP($A319,'Consolidate List'!$A$2:$P$1048576,9,FALSE),"")</f>
        <v/>
      </c>
      <c r="I319" t="str">
        <f>IFERROR(VLOOKUP($A319,'Consolidate List'!$A$2:$P$1048576,10,FALSE),"")</f>
        <v/>
      </c>
      <c r="J319" t="str">
        <f>IFERROR(_xlfn.CONCAT((VLOOKUP($A319,'Consolidate List'!$A$2:$P$1048576,5,FALSE)),", ",VLOOKUP($A319,'Consolidate List'!$A$2:$P$1048576,6,FALSE)),"")</f>
        <v/>
      </c>
      <c r="K319" t="str">
        <f>IFERROR(VLOOKUP($A319,'Consolidate List'!$A$2:$P$1048576,17,FALSE),"")</f>
        <v/>
      </c>
    </row>
    <row r="320" spans="1:11" x14ac:dyDescent="0.35">
      <c r="A320" t="str">
        <f>IFERROR(Tableau1[[#This Row],[ID Unique]],"")</f>
        <v/>
      </c>
      <c r="B320" t="str">
        <f>IFERROR(VLOOKUP($A320,'Consolidate List'!$A$2:$P$1048576,15,FALSE),"")</f>
        <v/>
      </c>
      <c r="C320" t="str">
        <f>IFERROR(VLOOKUP($A320,'Consolidate List'!$A$2:$P$1048576,16,FALSE),"")</f>
        <v/>
      </c>
      <c r="D320" t="str">
        <f>IFERROR(VLOOKUP($A320,'Consolidate List'!$A$2:$P$1048576,8,FALSE),"")</f>
        <v/>
      </c>
      <c r="F320" t="str">
        <f>IFERROR(VLOOKUP($A320,'Consolidate List'!$A$2:$P$1048576,12,FALSE),"")</f>
        <v/>
      </c>
      <c r="G320" t="str">
        <f>IFERROR(VLOOKUP($A320,'Consolidate List'!$A$2:$P$1048576,11,FALSE),"")</f>
        <v/>
      </c>
      <c r="H320" t="str">
        <f>IFERROR(VLOOKUP($A320,'Consolidate List'!$A$2:$P$1048576,9,FALSE),"")</f>
        <v/>
      </c>
      <c r="I320" t="str">
        <f>IFERROR(VLOOKUP($A320,'Consolidate List'!$A$2:$P$1048576,10,FALSE),"")</f>
        <v/>
      </c>
      <c r="J320" t="str">
        <f>IFERROR(_xlfn.CONCAT((VLOOKUP($A320,'Consolidate List'!$A$2:$P$1048576,5,FALSE)),", ",VLOOKUP($A320,'Consolidate List'!$A$2:$P$1048576,6,FALSE)),"")</f>
        <v/>
      </c>
      <c r="K320" t="str">
        <f>IFERROR(VLOOKUP($A320,'Consolidate List'!$A$2:$P$1048576,17,FALSE),"")</f>
        <v/>
      </c>
    </row>
    <row r="321" spans="1:11" x14ac:dyDescent="0.35">
      <c r="A321" t="str">
        <f>IFERROR(Tableau1[[#This Row],[ID Unique]],"")</f>
        <v/>
      </c>
      <c r="B321" t="str">
        <f>IFERROR(VLOOKUP($A321,'Consolidate List'!$A$2:$P$1048576,15,FALSE),"")</f>
        <v/>
      </c>
      <c r="C321" t="str">
        <f>IFERROR(VLOOKUP($A321,'Consolidate List'!$A$2:$P$1048576,16,FALSE),"")</f>
        <v/>
      </c>
      <c r="D321" t="str">
        <f>IFERROR(VLOOKUP($A321,'Consolidate List'!$A$2:$P$1048576,8,FALSE),"")</f>
        <v/>
      </c>
      <c r="F321" t="str">
        <f>IFERROR(VLOOKUP($A321,'Consolidate List'!$A$2:$P$1048576,12,FALSE),"")</f>
        <v/>
      </c>
      <c r="G321" t="str">
        <f>IFERROR(VLOOKUP($A321,'Consolidate List'!$A$2:$P$1048576,11,FALSE),"")</f>
        <v/>
      </c>
      <c r="H321" t="str">
        <f>IFERROR(VLOOKUP($A321,'Consolidate List'!$A$2:$P$1048576,9,FALSE),"")</f>
        <v/>
      </c>
      <c r="I321" t="str">
        <f>IFERROR(VLOOKUP($A321,'Consolidate List'!$A$2:$P$1048576,10,FALSE),"")</f>
        <v/>
      </c>
      <c r="J321" t="str">
        <f>IFERROR(_xlfn.CONCAT((VLOOKUP($A321,'Consolidate List'!$A$2:$P$1048576,5,FALSE)),", ",VLOOKUP($A321,'Consolidate List'!$A$2:$P$1048576,6,FALSE)),"")</f>
        <v/>
      </c>
      <c r="K321" t="str">
        <f>IFERROR(VLOOKUP($A321,'Consolidate List'!$A$2:$P$1048576,17,FALSE),"")</f>
        <v/>
      </c>
    </row>
    <row r="322" spans="1:11" x14ac:dyDescent="0.35">
      <c r="A322" t="str">
        <f>IFERROR(Tableau1[[#This Row],[ID Unique]],"")</f>
        <v/>
      </c>
      <c r="B322" t="str">
        <f>IFERROR(VLOOKUP($A322,'Consolidate List'!$A$2:$P$1048576,15,FALSE),"")</f>
        <v/>
      </c>
      <c r="C322" t="str">
        <f>IFERROR(VLOOKUP($A322,'Consolidate List'!$A$2:$P$1048576,16,FALSE),"")</f>
        <v/>
      </c>
      <c r="D322" t="str">
        <f>IFERROR(VLOOKUP($A322,'Consolidate List'!$A$2:$P$1048576,8,FALSE),"")</f>
        <v/>
      </c>
      <c r="F322" t="str">
        <f>IFERROR(VLOOKUP($A322,'Consolidate List'!$A$2:$P$1048576,12,FALSE),"")</f>
        <v/>
      </c>
      <c r="G322" t="str">
        <f>IFERROR(VLOOKUP($A322,'Consolidate List'!$A$2:$P$1048576,11,FALSE),"")</f>
        <v/>
      </c>
      <c r="H322" t="str">
        <f>IFERROR(VLOOKUP($A322,'Consolidate List'!$A$2:$P$1048576,9,FALSE),"")</f>
        <v/>
      </c>
      <c r="I322" t="str">
        <f>IFERROR(VLOOKUP($A322,'Consolidate List'!$A$2:$P$1048576,10,FALSE),"")</f>
        <v/>
      </c>
      <c r="J322" t="str">
        <f>IFERROR(_xlfn.CONCAT((VLOOKUP($A322,'Consolidate List'!$A$2:$P$1048576,5,FALSE)),", ",VLOOKUP($A322,'Consolidate List'!$A$2:$P$1048576,6,FALSE)),"")</f>
        <v/>
      </c>
      <c r="K322" t="str">
        <f>IFERROR(VLOOKUP($A322,'Consolidate List'!$A$2:$P$1048576,17,FALSE),"")</f>
        <v/>
      </c>
    </row>
    <row r="323" spans="1:11" x14ac:dyDescent="0.35">
      <c r="A323" t="str">
        <f>IFERROR(Tableau1[[#This Row],[ID Unique]],"")</f>
        <v/>
      </c>
      <c r="B323" t="str">
        <f>IFERROR(VLOOKUP($A323,'Consolidate List'!$A$2:$P$1048576,15,FALSE),"")</f>
        <v/>
      </c>
      <c r="C323" t="str">
        <f>IFERROR(VLOOKUP($A323,'Consolidate List'!$A$2:$P$1048576,16,FALSE),"")</f>
        <v/>
      </c>
      <c r="D323" t="str">
        <f>IFERROR(VLOOKUP($A323,'Consolidate List'!$A$2:$P$1048576,8,FALSE),"")</f>
        <v/>
      </c>
      <c r="F323" t="str">
        <f>IFERROR(VLOOKUP($A323,'Consolidate List'!$A$2:$P$1048576,12,FALSE),"")</f>
        <v/>
      </c>
      <c r="G323" t="str">
        <f>IFERROR(VLOOKUP($A323,'Consolidate List'!$A$2:$P$1048576,11,FALSE),"")</f>
        <v/>
      </c>
      <c r="H323" t="str">
        <f>IFERROR(VLOOKUP($A323,'Consolidate List'!$A$2:$P$1048576,9,FALSE),"")</f>
        <v/>
      </c>
      <c r="I323" t="str">
        <f>IFERROR(VLOOKUP($A323,'Consolidate List'!$A$2:$P$1048576,10,FALSE),"")</f>
        <v/>
      </c>
      <c r="J323" t="str">
        <f>IFERROR(_xlfn.CONCAT((VLOOKUP($A323,'Consolidate List'!$A$2:$P$1048576,5,FALSE)),", ",VLOOKUP($A323,'Consolidate List'!$A$2:$P$1048576,6,FALSE)),"")</f>
        <v/>
      </c>
      <c r="K323" t="str">
        <f>IFERROR(VLOOKUP($A323,'Consolidate List'!$A$2:$P$1048576,17,FALSE),"")</f>
        <v/>
      </c>
    </row>
    <row r="324" spans="1:11" x14ac:dyDescent="0.35">
      <c r="A324" t="str">
        <f>IFERROR(Tableau1[[#This Row],[ID Unique]],"")</f>
        <v/>
      </c>
      <c r="B324" t="str">
        <f>IFERROR(VLOOKUP($A324,'Consolidate List'!$A$2:$P$1048576,15,FALSE),"")</f>
        <v/>
      </c>
      <c r="C324" t="str">
        <f>IFERROR(VLOOKUP($A324,'Consolidate List'!$A$2:$P$1048576,16,FALSE),"")</f>
        <v/>
      </c>
      <c r="D324" t="str">
        <f>IFERROR(VLOOKUP($A324,'Consolidate List'!$A$2:$P$1048576,8,FALSE),"")</f>
        <v/>
      </c>
      <c r="F324" t="str">
        <f>IFERROR(VLOOKUP($A324,'Consolidate List'!$A$2:$P$1048576,12,FALSE),"")</f>
        <v/>
      </c>
      <c r="G324" t="str">
        <f>IFERROR(VLOOKUP($A324,'Consolidate List'!$A$2:$P$1048576,11,FALSE),"")</f>
        <v/>
      </c>
      <c r="H324" t="str">
        <f>IFERROR(VLOOKUP($A324,'Consolidate List'!$A$2:$P$1048576,9,FALSE),"")</f>
        <v/>
      </c>
      <c r="I324" t="str">
        <f>IFERROR(VLOOKUP($A324,'Consolidate List'!$A$2:$P$1048576,10,FALSE),"")</f>
        <v/>
      </c>
      <c r="J324" t="str">
        <f>IFERROR(_xlfn.CONCAT((VLOOKUP($A324,'Consolidate List'!$A$2:$P$1048576,5,FALSE)),", ",VLOOKUP($A324,'Consolidate List'!$A$2:$P$1048576,6,FALSE)),"")</f>
        <v/>
      </c>
      <c r="K324" t="str">
        <f>IFERROR(VLOOKUP($A324,'Consolidate List'!$A$2:$P$1048576,17,FALSE),"")</f>
        <v/>
      </c>
    </row>
    <row r="325" spans="1:11" x14ac:dyDescent="0.35">
      <c r="A325" t="str">
        <f>IFERROR(Tableau1[[#This Row],[ID Unique]],"")</f>
        <v/>
      </c>
      <c r="B325" t="str">
        <f>IFERROR(VLOOKUP($A325,'Consolidate List'!$A$2:$P$1048576,15,FALSE),"")</f>
        <v/>
      </c>
      <c r="C325" t="str">
        <f>IFERROR(VLOOKUP($A325,'Consolidate List'!$A$2:$P$1048576,16,FALSE),"")</f>
        <v/>
      </c>
      <c r="D325" t="str">
        <f>IFERROR(VLOOKUP($A325,'Consolidate List'!$A$2:$P$1048576,8,FALSE),"")</f>
        <v/>
      </c>
      <c r="F325" t="str">
        <f>IFERROR(VLOOKUP($A325,'Consolidate List'!$A$2:$P$1048576,12,FALSE),"")</f>
        <v/>
      </c>
      <c r="G325" t="str">
        <f>IFERROR(VLOOKUP($A325,'Consolidate List'!$A$2:$P$1048576,11,FALSE),"")</f>
        <v/>
      </c>
      <c r="H325" t="str">
        <f>IFERROR(VLOOKUP($A325,'Consolidate List'!$A$2:$P$1048576,9,FALSE),"")</f>
        <v/>
      </c>
      <c r="I325" t="str">
        <f>IFERROR(VLOOKUP($A325,'Consolidate List'!$A$2:$P$1048576,10,FALSE),"")</f>
        <v/>
      </c>
      <c r="J325" t="str">
        <f>IFERROR(_xlfn.CONCAT((VLOOKUP($A325,'Consolidate List'!$A$2:$P$1048576,5,FALSE)),", ",VLOOKUP($A325,'Consolidate List'!$A$2:$P$1048576,6,FALSE)),"")</f>
        <v/>
      </c>
      <c r="K325" t="str">
        <f>IFERROR(VLOOKUP($A325,'Consolidate List'!$A$2:$P$1048576,17,FALSE),"")</f>
        <v/>
      </c>
    </row>
    <row r="326" spans="1:11" x14ac:dyDescent="0.35">
      <c r="A326" t="str">
        <f>IFERROR(Tableau1[[#This Row],[ID Unique]],"")</f>
        <v/>
      </c>
      <c r="B326" t="str">
        <f>IFERROR(VLOOKUP($A326,'Consolidate List'!$A$2:$P$1048576,15,FALSE),"")</f>
        <v/>
      </c>
      <c r="C326" t="str">
        <f>IFERROR(VLOOKUP($A326,'Consolidate List'!$A$2:$P$1048576,16,FALSE),"")</f>
        <v/>
      </c>
      <c r="D326" t="str">
        <f>IFERROR(VLOOKUP($A326,'Consolidate List'!$A$2:$P$1048576,8,FALSE),"")</f>
        <v/>
      </c>
      <c r="F326" t="str">
        <f>IFERROR(VLOOKUP($A326,'Consolidate List'!$A$2:$P$1048576,12,FALSE),"")</f>
        <v/>
      </c>
      <c r="G326" t="str">
        <f>IFERROR(VLOOKUP($A326,'Consolidate List'!$A$2:$P$1048576,11,FALSE),"")</f>
        <v/>
      </c>
      <c r="H326" t="str">
        <f>IFERROR(VLOOKUP($A326,'Consolidate List'!$A$2:$P$1048576,9,FALSE),"")</f>
        <v/>
      </c>
      <c r="I326" t="str">
        <f>IFERROR(VLOOKUP($A326,'Consolidate List'!$A$2:$P$1048576,10,FALSE),"")</f>
        <v/>
      </c>
      <c r="J326" t="str">
        <f>IFERROR(_xlfn.CONCAT((VLOOKUP($A326,'Consolidate List'!$A$2:$P$1048576,5,FALSE)),", ",VLOOKUP($A326,'Consolidate List'!$A$2:$P$1048576,6,FALSE)),"")</f>
        <v/>
      </c>
      <c r="K326" t="str">
        <f>IFERROR(VLOOKUP($A326,'Consolidate List'!$A$2:$P$1048576,17,FALSE),"")</f>
        <v/>
      </c>
    </row>
    <row r="327" spans="1:11" x14ac:dyDescent="0.35">
      <c r="A327" t="str">
        <f>IFERROR(Tableau1[[#This Row],[ID Unique]],"")</f>
        <v/>
      </c>
      <c r="B327" t="str">
        <f>IFERROR(VLOOKUP($A327,'Consolidate List'!$A$2:$P$1048576,15,FALSE),"")</f>
        <v/>
      </c>
      <c r="C327" t="str">
        <f>IFERROR(VLOOKUP($A327,'Consolidate List'!$A$2:$P$1048576,16,FALSE),"")</f>
        <v/>
      </c>
      <c r="D327" t="str">
        <f>IFERROR(VLOOKUP($A327,'Consolidate List'!$A$2:$P$1048576,8,FALSE),"")</f>
        <v/>
      </c>
      <c r="F327" t="str">
        <f>IFERROR(VLOOKUP($A327,'Consolidate List'!$A$2:$P$1048576,12,FALSE),"")</f>
        <v/>
      </c>
      <c r="G327" t="str">
        <f>IFERROR(VLOOKUP($A327,'Consolidate List'!$A$2:$P$1048576,11,FALSE),"")</f>
        <v/>
      </c>
      <c r="H327" t="str">
        <f>IFERROR(VLOOKUP($A327,'Consolidate List'!$A$2:$P$1048576,9,FALSE),"")</f>
        <v/>
      </c>
      <c r="I327" t="str">
        <f>IFERROR(VLOOKUP($A327,'Consolidate List'!$A$2:$P$1048576,10,FALSE),"")</f>
        <v/>
      </c>
      <c r="J327" t="str">
        <f>IFERROR(_xlfn.CONCAT((VLOOKUP($A327,'Consolidate List'!$A$2:$P$1048576,5,FALSE)),", ",VLOOKUP($A327,'Consolidate List'!$A$2:$P$1048576,6,FALSE)),"")</f>
        <v/>
      </c>
      <c r="K327" t="str">
        <f>IFERROR(VLOOKUP($A327,'Consolidate List'!$A$2:$P$1048576,17,FALSE),"")</f>
        <v/>
      </c>
    </row>
    <row r="328" spans="1:11" x14ac:dyDescent="0.35">
      <c r="A328" t="str">
        <f>IFERROR(Tableau1[[#This Row],[ID Unique]],"")</f>
        <v/>
      </c>
      <c r="B328" t="str">
        <f>IFERROR(VLOOKUP($A328,'Consolidate List'!$A$2:$P$1048576,15,FALSE),"")</f>
        <v/>
      </c>
      <c r="C328" t="str">
        <f>IFERROR(VLOOKUP($A328,'Consolidate List'!$A$2:$P$1048576,16,FALSE),"")</f>
        <v/>
      </c>
      <c r="D328" t="str">
        <f>IFERROR(VLOOKUP($A328,'Consolidate List'!$A$2:$P$1048576,8,FALSE),"")</f>
        <v/>
      </c>
      <c r="F328" t="str">
        <f>IFERROR(VLOOKUP($A328,'Consolidate List'!$A$2:$P$1048576,12,FALSE),"")</f>
        <v/>
      </c>
      <c r="G328" t="str">
        <f>IFERROR(VLOOKUP($A328,'Consolidate List'!$A$2:$P$1048576,11,FALSE),"")</f>
        <v/>
      </c>
      <c r="H328" t="str">
        <f>IFERROR(VLOOKUP($A328,'Consolidate List'!$A$2:$P$1048576,9,FALSE),"")</f>
        <v/>
      </c>
      <c r="I328" t="str">
        <f>IFERROR(VLOOKUP($A328,'Consolidate List'!$A$2:$P$1048576,10,FALSE),"")</f>
        <v/>
      </c>
      <c r="J328" t="str">
        <f>IFERROR(_xlfn.CONCAT((VLOOKUP($A328,'Consolidate List'!$A$2:$P$1048576,5,FALSE)),", ",VLOOKUP($A328,'Consolidate List'!$A$2:$P$1048576,6,FALSE)),"")</f>
        <v/>
      </c>
      <c r="K328" t="str">
        <f>IFERROR(VLOOKUP($A328,'Consolidate List'!$A$2:$P$1048576,17,FALSE),"")</f>
        <v/>
      </c>
    </row>
    <row r="329" spans="1:11" x14ac:dyDescent="0.35">
      <c r="A329" t="str">
        <f>IFERROR(Tableau1[[#This Row],[ID Unique]],"")</f>
        <v/>
      </c>
      <c r="B329" t="str">
        <f>IFERROR(VLOOKUP($A329,'Consolidate List'!$A$2:$P$1048576,15,FALSE),"")</f>
        <v/>
      </c>
      <c r="C329" t="str">
        <f>IFERROR(VLOOKUP($A329,'Consolidate List'!$A$2:$P$1048576,16,FALSE),"")</f>
        <v/>
      </c>
      <c r="D329" t="str">
        <f>IFERROR(VLOOKUP($A329,'Consolidate List'!$A$2:$P$1048576,8,FALSE),"")</f>
        <v/>
      </c>
      <c r="F329" t="str">
        <f>IFERROR(VLOOKUP($A329,'Consolidate List'!$A$2:$P$1048576,12,FALSE),"")</f>
        <v/>
      </c>
      <c r="G329" t="str">
        <f>IFERROR(VLOOKUP($A329,'Consolidate List'!$A$2:$P$1048576,11,FALSE),"")</f>
        <v/>
      </c>
      <c r="H329" t="str">
        <f>IFERROR(VLOOKUP($A329,'Consolidate List'!$A$2:$P$1048576,9,FALSE),"")</f>
        <v/>
      </c>
      <c r="I329" t="str">
        <f>IFERROR(VLOOKUP($A329,'Consolidate List'!$A$2:$P$1048576,10,FALSE),"")</f>
        <v/>
      </c>
      <c r="J329" t="str">
        <f>IFERROR(_xlfn.CONCAT((VLOOKUP($A329,'Consolidate List'!$A$2:$P$1048576,5,FALSE)),", ",VLOOKUP($A329,'Consolidate List'!$A$2:$P$1048576,6,FALSE)),"")</f>
        <v/>
      </c>
      <c r="K329" t="str">
        <f>IFERROR(VLOOKUP($A329,'Consolidate List'!$A$2:$P$1048576,17,FALSE),"")</f>
        <v/>
      </c>
    </row>
    <row r="330" spans="1:11" x14ac:dyDescent="0.35">
      <c r="A330" t="str">
        <f>IFERROR(Tableau1[[#This Row],[ID Unique]],"")</f>
        <v/>
      </c>
      <c r="B330" t="str">
        <f>IFERROR(VLOOKUP($A330,'Consolidate List'!$A$2:$P$1048576,15,FALSE),"")</f>
        <v/>
      </c>
      <c r="C330" t="str">
        <f>IFERROR(VLOOKUP($A330,'Consolidate List'!$A$2:$P$1048576,16,FALSE),"")</f>
        <v/>
      </c>
      <c r="D330" t="str">
        <f>IFERROR(VLOOKUP($A330,'Consolidate List'!$A$2:$P$1048576,8,FALSE),"")</f>
        <v/>
      </c>
      <c r="F330" t="str">
        <f>IFERROR(VLOOKUP($A330,'Consolidate List'!$A$2:$P$1048576,12,FALSE),"")</f>
        <v/>
      </c>
      <c r="G330" t="str">
        <f>IFERROR(VLOOKUP($A330,'Consolidate List'!$A$2:$P$1048576,11,FALSE),"")</f>
        <v/>
      </c>
      <c r="H330" t="str">
        <f>IFERROR(VLOOKUP($A330,'Consolidate List'!$A$2:$P$1048576,9,FALSE),"")</f>
        <v/>
      </c>
      <c r="I330" t="str">
        <f>IFERROR(VLOOKUP($A330,'Consolidate List'!$A$2:$P$1048576,10,FALSE),"")</f>
        <v/>
      </c>
      <c r="J330" t="str">
        <f>IFERROR(_xlfn.CONCAT((VLOOKUP($A330,'Consolidate List'!$A$2:$P$1048576,5,FALSE)),", ",VLOOKUP($A330,'Consolidate List'!$A$2:$P$1048576,6,FALSE)),"")</f>
        <v/>
      </c>
      <c r="K330" t="str">
        <f>IFERROR(VLOOKUP($A330,'Consolidate List'!$A$2:$P$1048576,17,FALSE),"")</f>
        <v/>
      </c>
    </row>
    <row r="331" spans="1:11" x14ac:dyDescent="0.35">
      <c r="A331" t="str">
        <f>IFERROR(Tableau1[[#This Row],[ID Unique]],"")</f>
        <v/>
      </c>
      <c r="B331" t="str">
        <f>IFERROR(VLOOKUP($A331,'Consolidate List'!$A$2:$P$1048576,15,FALSE),"")</f>
        <v/>
      </c>
      <c r="C331" t="str">
        <f>IFERROR(VLOOKUP($A331,'Consolidate List'!$A$2:$P$1048576,16,FALSE),"")</f>
        <v/>
      </c>
      <c r="D331" t="str">
        <f>IFERROR(VLOOKUP($A331,'Consolidate List'!$A$2:$P$1048576,8,FALSE),"")</f>
        <v/>
      </c>
      <c r="F331" t="str">
        <f>IFERROR(VLOOKUP($A331,'Consolidate List'!$A$2:$P$1048576,12,FALSE),"")</f>
        <v/>
      </c>
      <c r="G331" t="str">
        <f>IFERROR(VLOOKUP($A331,'Consolidate List'!$A$2:$P$1048576,11,FALSE),"")</f>
        <v/>
      </c>
      <c r="H331" t="str">
        <f>IFERROR(VLOOKUP($A331,'Consolidate List'!$A$2:$P$1048576,9,FALSE),"")</f>
        <v/>
      </c>
      <c r="I331" t="str">
        <f>IFERROR(VLOOKUP($A331,'Consolidate List'!$A$2:$P$1048576,10,FALSE),"")</f>
        <v/>
      </c>
      <c r="J331" t="str">
        <f>IFERROR(_xlfn.CONCAT((VLOOKUP($A331,'Consolidate List'!$A$2:$P$1048576,5,FALSE)),", ",VLOOKUP($A331,'Consolidate List'!$A$2:$P$1048576,6,FALSE)),"")</f>
        <v/>
      </c>
      <c r="K331" t="str">
        <f>IFERROR(VLOOKUP($A331,'Consolidate List'!$A$2:$P$1048576,17,FALSE),"")</f>
        <v/>
      </c>
    </row>
    <row r="332" spans="1:11" x14ac:dyDescent="0.35">
      <c r="A332" t="str">
        <f>IFERROR(Tableau1[[#This Row],[ID Unique]],"")</f>
        <v/>
      </c>
      <c r="B332" t="str">
        <f>IFERROR(VLOOKUP($A332,'Consolidate List'!$A$2:$P$1048576,15,FALSE),"")</f>
        <v/>
      </c>
      <c r="C332" t="str">
        <f>IFERROR(VLOOKUP($A332,'Consolidate List'!$A$2:$P$1048576,16,FALSE),"")</f>
        <v/>
      </c>
      <c r="D332" t="str">
        <f>IFERROR(VLOOKUP($A332,'Consolidate List'!$A$2:$P$1048576,8,FALSE),"")</f>
        <v/>
      </c>
      <c r="F332" t="str">
        <f>IFERROR(VLOOKUP($A332,'Consolidate List'!$A$2:$P$1048576,12,FALSE),"")</f>
        <v/>
      </c>
      <c r="G332" t="str">
        <f>IFERROR(VLOOKUP($A332,'Consolidate List'!$A$2:$P$1048576,11,FALSE),"")</f>
        <v/>
      </c>
      <c r="H332" t="str">
        <f>IFERROR(VLOOKUP($A332,'Consolidate List'!$A$2:$P$1048576,9,FALSE),"")</f>
        <v/>
      </c>
      <c r="I332" t="str">
        <f>IFERROR(VLOOKUP($A332,'Consolidate List'!$A$2:$P$1048576,10,FALSE),"")</f>
        <v/>
      </c>
      <c r="J332" t="str">
        <f>IFERROR(_xlfn.CONCAT((VLOOKUP($A332,'Consolidate List'!$A$2:$P$1048576,5,FALSE)),", ",VLOOKUP($A332,'Consolidate List'!$A$2:$P$1048576,6,FALSE)),"")</f>
        <v/>
      </c>
      <c r="K332" t="str">
        <f>IFERROR(VLOOKUP($A332,'Consolidate List'!$A$2:$P$1048576,17,FALSE),"")</f>
        <v/>
      </c>
    </row>
    <row r="333" spans="1:11" x14ac:dyDescent="0.35">
      <c r="A333" t="str">
        <f>IFERROR(Tableau1[[#This Row],[ID Unique]],"")</f>
        <v/>
      </c>
      <c r="B333" t="str">
        <f>IFERROR(VLOOKUP($A333,'Consolidate List'!$A$2:$P$1048576,15,FALSE),"")</f>
        <v/>
      </c>
      <c r="C333" t="str">
        <f>IFERROR(VLOOKUP($A333,'Consolidate List'!$A$2:$P$1048576,16,FALSE),"")</f>
        <v/>
      </c>
      <c r="D333" t="str">
        <f>IFERROR(VLOOKUP($A333,'Consolidate List'!$A$2:$P$1048576,8,FALSE),"")</f>
        <v/>
      </c>
      <c r="F333" t="str">
        <f>IFERROR(VLOOKUP($A333,'Consolidate List'!$A$2:$P$1048576,12,FALSE),"")</f>
        <v/>
      </c>
      <c r="G333" t="str">
        <f>IFERROR(VLOOKUP($A333,'Consolidate List'!$A$2:$P$1048576,11,FALSE),"")</f>
        <v/>
      </c>
      <c r="H333" t="str">
        <f>IFERROR(VLOOKUP($A333,'Consolidate List'!$A$2:$P$1048576,9,FALSE),"")</f>
        <v/>
      </c>
      <c r="I333" t="str">
        <f>IFERROR(VLOOKUP($A333,'Consolidate List'!$A$2:$P$1048576,10,FALSE),"")</f>
        <v/>
      </c>
      <c r="J333" t="str">
        <f>IFERROR(_xlfn.CONCAT((VLOOKUP($A333,'Consolidate List'!$A$2:$P$1048576,5,FALSE)),", ",VLOOKUP($A333,'Consolidate List'!$A$2:$P$1048576,6,FALSE)),"")</f>
        <v/>
      </c>
      <c r="K333" t="str">
        <f>IFERROR(VLOOKUP($A333,'Consolidate List'!$A$2:$P$1048576,17,FALSE),"")</f>
        <v/>
      </c>
    </row>
    <row r="334" spans="1:11" x14ac:dyDescent="0.35">
      <c r="A334" t="str">
        <f>IFERROR(Tableau1[[#This Row],[ID Unique]],"")</f>
        <v/>
      </c>
      <c r="B334" t="str">
        <f>IFERROR(VLOOKUP($A334,'Consolidate List'!$A$2:$P$1048576,15,FALSE),"")</f>
        <v/>
      </c>
      <c r="C334" t="str">
        <f>IFERROR(VLOOKUP($A334,'Consolidate List'!$A$2:$P$1048576,16,FALSE),"")</f>
        <v/>
      </c>
      <c r="D334" t="str">
        <f>IFERROR(VLOOKUP($A334,'Consolidate List'!$A$2:$P$1048576,8,FALSE),"")</f>
        <v/>
      </c>
      <c r="F334" t="str">
        <f>IFERROR(VLOOKUP($A334,'Consolidate List'!$A$2:$P$1048576,12,FALSE),"")</f>
        <v/>
      </c>
      <c r="G334" t="str">
        <f>IFERROR(VLOOKUP($A334,'Consolidate List'!$A$2:$P$1048576,11,FALSE),"")</f>
        <v/>
      </c>
      <c r="H334" t="str">
        <f>IFERROR(VLOOKUP($A334,'Consolidate List'!$A$2:$P$1048576,9,FALSE),"")</f>
        <v/>
      </c>
      <c r="I334" t="str">
        <f>IFERROR(VLOOKUP($A334,'Consolidate List'!$A$2:$P$1048576,10,FALSE),"")</f>
        <v/>
      </c>
      <c r="J334" t="str">
        <f>IFERROR(_xlfn.CONCAT((VLOOKUP($A334,'Consolidate List'!$A$2:$P$1048576,5,FALSE)),", ",VLOOKUP($A334,'Consolidate List'!$A$2:$P$1048576,6,FALSE)),"")</f>
        <v/>
      </c>
      <c r="K334" t="str">
        <f>IFERROR(VLOOKUP($A334,'Consolidate List'!$A$2:$P$1048576,17,FALSE),"")</f>
        <v/>
      </c>
    </row>
    <row r="335" spans="1:11" x14ac:dyDescent="0.35">
      <c r="A335" t="str">
        <f>IFERROR(Tableau1[[#This Row],[ID Unique]],"")</f>
        <v/>
      </c>
      <c r="B335" t="str">
        <f>IFERROR(VLOOKUP($A335,'Consolidate List'!$A$2:$P$1048576,15,FALSE),"")</f>
        <v/>
      </c>
      <c r="C335" t="str">
        <f>IFERROR(VLOOKUP($A335,'Consolidate List'!$A$2:$P$1048576,16,FALSE),"")</f>
        <v/>
      </c>
      <c r="D335" t="str">
        <f>IFERROR(VLOOKUP($A335,'Consolidate List'!$A$2:$P$1048576,8,FALSE),"")</f>
        <v/>
      </c>
      <c r="F335" t="str">
        <f>IFERROR(VLOOKUP($A335,'Consolidate List'!$A$2:$P$1048576,12,FALSE),"")</f>
        <v/>
      </c>
      <c r="G335" t="str">
        <f>IFERROR(VLOOKUP($A335,'Consolidate List'!$A$2:$P$1048576,11,FALSE),"")</f>
        <v/>
      </c>
      <c r="H335" t="str">
        <f>IFERROR(VLOOKUP($A335,'Consolidate List'!$A$2:$P$1048576,9,FALSE),"")</f>
        <v/>
      </c>
      <c r="I335" t="str">
        <f>IFERROR(VLOOKUP($A335,'Consolidate List'!$A$2:$P$1048576,10,FALSE),"")</f>
        <v/>
      </c>
      <c r="J335" t="str">
        <f>IFERROR(_xlfn.CONCAT((VLOOKUP($A335,'Consolidate List'!$A$2:$P$1048576,5,FALSE)),", ",VLOOKUP($A335,'Consolidate List'!$A$2:$P$1048576,6,FALSE)),"")</f>
        <v/>
      </c>
      <c r="K335" t="str">
        <f>IFERROR(VLOOKUP($A335,'Consolidate List'!$A$2:$P$1048576,17,FALSE),"")</f>
        <v/>
      </c>
    </row>
    <row r="336" spans="1:11" x14ac:dyDescent="0.35">
      <c r="A336" t="str">
        <f>IFERROR(Tableau1[[#This Row],[ID Unique]],"")</f>
        <v/>
      </c>
      <c r="B336" t="str">
        <f>IFERROR(VLOOKUP($A336,'Consolidate List'!$A$2:$P$1048576,15,FALSE),"")</f>
        <v/>
      </c>
      <c r="C336" t="str">
        <f>IFERROR(VLOOKUP($A336,'Consolidate List'!$A$2:$P$1048576,16,FALSE),"")</f>
        <v/>
      </c>
      <c r="D336" t="str">
        <f>IFERROR(VLOOKUP($A336,'Consolidate List'!$A$2:$P$1048576,8,FALSE),"")</f>
        <v/>
      </c>
      <c r="F336" t="str">
        <f>IFERROR(VLOOKUP($A336,'Consolidate List'!$A$2:$P$1048576,12,FALSE),"")</f>
        <v/>
      </c>
      <c r="G336" t="str">
        <f>IFERROR(VLOOKUP($A336,'Consolidate List'!$A$2:$P$1048576,11,FALSE),"")</f>
        <v/>
      </c>
      <c r="H336" t="str">
        <f>IFERROR(VLOOKUP($A336,'Consolidate List'!$A$2:$P$1048576,9,FALSE),"")</f>
        <v/>
      </c>
      <c r="I336" t="str">
        <f>IFERROR(VLOOKUP($A336,'Consolidate List'!$A$2:$P$1048576,10,FALSE),"")</f>
        <v/>
      </c>
      <c r="J336" t="str">
        <f>IFERROR(_xlfn.CONCAT((VLOOKUP($A336,'Consolidate List'!$A$2:$P$1048576,5,FALSE)),", ",VLOOKUP($A336,'Consolidate List'!$A$2:$P$1048576,6,FALSE)),"")</f>
        <v/>
      </c>
      <c r="K336" t="str">
        <f>IFERROR(VLOOKUP($A336,'Consolidate List'!$A$2:$P$1048576,17,FALSE),"")</f>
        <v/>
      </c>
    </row>
    <row r="337" spans="1:11" x14ac:dyDescent="0.35">
      <c r="A337" t="str">
        <f>IFERROR(Tableau1[[#This Row],[ID Unique]],"")</f>
        <v/>
      </c>
      <c r="B337" t="str">
        <f>IFERROR(VLOOKUP($A337,'Consolidate List'!$A$2:$P$1048576,15,FALSE),"")</f>
        <v/>
      </c>
      <c r="C337" t="str">
        <f>IFERROR(VLOOKUP($A337,'Consolidate List'!$A$2:$P$1048576,16,FALSE),"")</f>
        <v/>
      </c>
      <c r="D337" t="str">
        <f>IFERROR(VLOOKUP($A337,'Consolidate List'!$A$2:$P$1048576,8,FALSE),"")</f>
        <v/>
      </c>
      <c r="F337" t="str">
        <f>IFERROR(VLOOKUP($A337,'Consolidate List'!$A$2:$P$1048576,12,FALSE),"")</f>
        <v/>
      </c>
      <c r="G337" t="str">
        <f>IFERROR(VLOOKUP($A337,'Consolidate List'!$A$2:$P$1048576,11,FALSE),"")</f>
        <v/>
      </c>
      <c r="H337" t="str">
        <f>IFERROR(VLOOKUP($A337,'Consolidate List'!$A$2:$P$1048576,9,FALSE),"")</f>
        <v/>
      </c>
      <c r="I337" t="str">
        <f>IFERROR(VLOOKUP($A337,'Consolidate List'!$A$2:$P$1048576,10,FALSE),"")</f>
        <v/>
      </c>
      <c r="J337" t="str">
        <f>IFERROR(_xlfn.CONCAT((VLOOKUP($A337,'Consolidate List'!$A$2:$P$1048576,5,FALSE)),", ",VLOOKUP($A337,'Consolidate List'!$A$2:$P$1048576,6,FALSE)),"")</f>
        <v/>
      </c>
      <c r="K337" t="str">
        <f>IFERROR(VLOOKUP($A337,'Consolidate List'!$A$2:$P$1048576,17,FALSE),"")</f>
        <v/>
      </c>
    </row>
    <row r="338" spans="1:11" x14ac:dyDescent="0.35">
      <c r="A338" t="str">
        <f>IFERROR(Tableau1[[#This Row],[ID Unique]],"")</f>
        <v/>
      </c>
      <c r="B338" t="str">
        <f>IFERROR(VLOOKUP($A338,'Consolidate List'!$A$2:$P$1048576,15,FALSE),"")</f>
        <v/>
      </c>
      <c r="C338" t="str">
        <f>IFERROR(VLOOKUP($A338,'Consolidate List'!$A$2:$P$1048576,16,FALSE),"")</f>
        <v/>
      </c>
      <c r="D338" t="str">
        <f>IFERROR(VLOOKUP($A338,'Consolidate List'!$A$2:$P$1048576,8,FALSE),"")</f>
        <v/>
      </c>
      <c r="F338" t="str">
        <f>IFERROR(VLOOKUP($A338,'Consolidate List'!$A$2:$P$1048576,12,FALSE),"")</f>
        <v/>
      </c>
      <c r="G338" t="str">
        <f>IFERROR(VLOOKUP($A338,'Consolidate List'!$A$2:$P$1048576,11,FALSE),"")</f>
        <v/>
      </c>
      <c r="H338" t="str">
        <f>IFERROR(VLOOKUP($A338,'Consolidate List'!$A$2:$P$1048576,9,FALSE),"")</f>
        <v/>
      </c>
      <c r="I338" t="str">
        <f>IFERROR(VLOOKUP($A338,'Consolidate List'!$A$2:$P$1048576,10,FALSE),"")</f>
        <v/>
      </c>
      <c r="J338" t="str">
        <f>IFERROR(_xlfn.CONCAT((VLOOKUP($A338,'Consolidate List'!$A$2:$P$1048576,5,FALSE)),", ",VLOOKUP($A338,'Consolidate List'!$A$2:$P$1048576,6,FALSE)),"")</f>
        <v/>
      </c>
      <c r="K338" t="str">
        <f>IFERROR(VLOOKUP($A338,'Consolidate List'!$A$2:$P$1048576,17,FALSE),"")</f>
        <v/>
      </c>
    </row>
    <row r="339" spans="1:11" x14ac:dyDescent="0.35">
      <c r="A339" t="str">
        <f>IFERROR(Tableau1[[#This Row],[ID Unique]],"")</f>
        <v/>
      </c>
      <c r="B339" t="str">
        <f>IFERROR(VLOOKUP($A339,'Consolidate List'!$A$2:$P$1048576,15,FALSE),"")</f>
        <v/>
      </c>
      <c r="C339" t="str">
        <f>IFERROR(VLOOKUP($A339,'Consolidate List'!$A$2:$P$1048576,16,FALSE),"")</f>
        <v/>
      </c>
      <c r="D339" t="str">
        <f>IFERROR(VLOOKUP($A339,'Consolidate List'!$A$2:$P$1048576,8,FALSE),"")</f>
        <v/>
      </c>
      <c r="F339" t="str">
        <f>IFERROR(VLOOKUP($A339,'Consolidate List'!$A$2:$P$1048576,12,FALSE),"")</f>
        <v/>
      </c>
      <c r="G339" t="str">
        <f>IFERROR(VLOOKUP($A339,'Consolidate List'!$A$2:$P$1048576,11,FALSE),"")</f>
        <v/>
      </c>
      <c r="H339" t="str">
        <f>IFERROR(VLOOKUP($A339,'Consolidate List'!$A$2:$P$1048576,9,FALSE),"")</f>
        <v/>
      </c>
      <c r="I339" t="str">
        <f>IFERROR(VLOOKUP($A339,'Consolidate List'!$A$2:$P$1048576,10,FALSE),"")</f>
        <v/>
      </c>
      <c r="J339" t="str">
        <f>IFERROR(_xlfn.CONCAT((VLOOKUP($A339,'Consolidate List'!$A$2:$P$1048576,5,FALSE)),", ",VLOOKUP($A339,'Consolidate List'!$A$2:$P$1048576,6,FALSE)),"")</f>
        <v/>
      </c>
      <c r="K339" t="str">
        <f>IFERROR(VLOOKUP($A339,'Consolidate List'!$A$2:$P$1048576,17,FALSE),"")</f>
        <v/>
      </c>
    </row>
    <row r="340" spans="1:11" x14ac:dyDescent="0.35">
      <c r="A340" t="str">
        <f>IFERROR(Tableau1[[#This Row],[ID Unique]],"")</f>
        <v/>
      </c>
      <c r="B340" t="str">
        <f>IFERROR(VLOOKUP($A340,'Consolidate List'!$A$2:$P$1048576,15,FALSE),"")</f>
        <v/>
      </c>
      <c r="C340" t="str">
        <f>IFERROR(VLOOKUP($A340,'Consolidate List'!$A$2:$P$1048576,16,FALSE),"")</f>
        <v/>
      </c>
      <c r="D340" t="str">
        <f>IFERROR(VLOOKUP($A340,'Consolidate List'!$A$2:$P$1048576,8,FALSE),"")</f>
        <v/>
      </c>
      <c r="F340" t="str">
        <f>IFERROR(VLOOKUP($A340,'Consolidate List'!$A$2:$P$1048576,12,FALSE),"")</f>
        <v/>
      </c>
      <c r="G340" t="str">
        <f>IFERROR(VLOOKUP($A340,'Consolidate List'!$A$2:$P$1048576,11,FALSE),"")</f>
        <v/>
      </c>
      <c r="H340" t="str">
        <f>IFERROR(VLOOKUP($A340,'Consolidate List'!$A$2:$P$1048576,9,FALSE),"")</f>
        <v/>
      </c>
      <c r="I340" t="str">
        <f>IFERROR(VLOOKUP($A340,'Consolidate List'!$A$2:$P$1048576,10,FALSE),"")</f>
        <v/>
      </c>
      <c r="J340" t="str">
        <f>IFERROR(_xlfn.CONCAT((VLOOKUP($A340,'Consolidate List'!$A$2:$P$1048576,5,FALSE)),", ",VLOOKUP($A340,'Consolidate List'!$A$2:$P$1048576,6,FALSE)),"")</f>
        <v/>
      </c>
      <c r="K340" t="str">
        <f>IFERROR(VLOOKUP($A340,'Consolidate List'!$A$2:$P$1048576,17,FALSE),"")</f>
        <v/>
      </c>
    </row>
    <row r="341" spans="1:11" x14ac:dyDescent="0.35">
      <c r="A341" t="str">
        <f>IFERROR(Tableau1[[#This Row],[ID Unique]],"")</f>
        <v/>
      </c>
      <c r="B341" t="str">
        <f>IFERROR(VLOOKUP($A341,'Consolidate List'!$A$2:$P$1048576,15,FALSE),"")</f>
        <v/>
      </c>
      <c r="C341" t="str">
        <f>IFERROR(VLOOKUP($A341,'Consolidate List'!$A$2:$P$1048576,16,FALSE),"")</f>
        <v/>
      </c>
      <c r="D341" t="str">
        <f>IFERROR(VLOOKUP($A341,'Consolidate List'!$A$2:$P$1048576,8,FALSE),"")</f>
        <v/>
      </c>
      <c r="F341" t="str">
        <f>IFERROR(VLOOKUP($A341,'Consolidate List'!$A$2:$P$1048576,12,FALSE),"")</f>
        <v/>
      </c>
      <c r="G341" t="str">
        <f>IFERROR(VLOOKUP($A341,'Consolidate List'!$A$2:$P$1048576,11,FALSE),"")</f>
        <v/>
      </c>
      <c r="H341" t="str">
        <f>IFERROR(VLOOKUP($A341,'Consolidate List'!$A$2:$P$1048576,9,FALSE),"")</f>
        <v/>
      </c>
      <c r="I341" t="str">
        <f>IFERROR(VLOOKUP($A341,'Consolidate List'!$A$2:$P$1048576,10,FALSE),"")</f>
        <v/>
      </c>
      <c r="J341" t="str">
        <f>IFERROR(_xlfn.CONCAT((VLOOKUP($A341,'Consolidate List'!$A$2:$P$1048576,5,FALSE)),", ",VLOOKUP($A341,'Consolidate List'!$A$2:$P$1048576,6,FALSE)),"")</f>
        <v/>
      </c>
      <c r="K341" t="str">
        <f>IFERROR(VLOOKUP($A341,'Consolidate List'!$A$2:$P$1048576,17,FALSE),"")</f>
        <v/>
      </c>
    </row>
    <row r="342" spans="1:11" x14ac:dyDescent="0.35">
      <c r="A342" t="str">
        <f>IFERROR(Tableau1[[#This Row],[ID Unique]],"")</f>
        <v/>
      </c>
      <c r="B342" t="str">
        <f>IFERROR(VLOOKUP($A342,'Consolidate List'!$A$2:$P$1048576,15,FALSE),"")</f>
        <v/>
      </c>
      <c r="C342" t="str">
        <f>IFERROR(VLOOKUP($A342,'Consolidate List'!$A$2:$P$1048576,16,FALSE),"")</f>
        <v/>
      </c>
      <c r="D342" t="str">
        <f>IFERROR(VLOOKUP($A342,'Consolidate List'!$A$2:$P$1048576,8,FALSE),"")</f>
        <v/>
      </c>
      <c r="F342" t="str">
        <f>IFERROR(VLOOKUP($A342,'Consolidate List'!$A$2:$P$1048576,12,FALSE),"")</f>
        <v/>
      </c>
      <c r="G342" t="str">
        <f>IFERROR(VLOOKUP($A342,'Consolidate List'!$A$2:$P$1048576,11,FALSE),"")</f>
        <v/>
      </c>
      <c r="H342" t="str">
        <f>IFERROR(VLOOKUP($A342,'Consolidate List'!$A$2:$P$1048576,9,FALSE),"")</f>
        <v/>
      </c>
      <c r="I342" t="str">
        <f>IFERROR(VLOOKUP($A342,'Consolidate List'!$A$2:$P$1048576,10,FALSE),"")</f>
        <v/>
      </c>
      <c r="J342" t="str">
        <f>IFERROR(_xlfn.CONCAT((VLOOKUP($A342,'Consolidate List'!$A$2:$P$1048576,5,FALSE)),", ",VLOOKUP($A342,'Consolidate List'!$A$2:$P$1048576,6,FALSE)),"")</f>
        <v/>
      </c>
      <c r="K342" t="str">
        <f>IFERROR(VLOOKUP($A342,'Consolidate List'!$A$2:$P$1048576,17,FALSE),"")</f>
        <v/>
      </c>
    </row>
    <row r="343" spans="1:11" x14ac:dyDescent="0.35">
      <c r="A343" t="str">
        <f>IFERROR(Tableau1[[#This Row],[ID Unique]],"")</f>
        <v/>
      </c>
      <c r="B343" t="str">
        <f>IFERROR(VLOOKUP($A343,'Consolidate List'!$A$2:$P$1048576,15,FALSE),"")</f>
        <v/>
      </c>
      <c r="C343" t="str">
        <f>IFERROR(VLOOKUP($A343,'Consolidate List'!$A$2:$P$1048576,16,FALSE),"")</f>
        <v/>
      </c>
      <c r="D343" t="str">
        <f>IFERROR(VLOOKUP($A343,'Consolidate List'!$A$2:$P$1048576,8,FALSE),"")</f>
        <v/>
      </c>
      <c r="F343" t="str">
        <f>IFERROR(VLOOKUP($A343,'Consolidate List'!$A$2:$P$1048576,12,FALSE),"")</f>
        <v/>
      </c>
      <c r="G343" t="str">
        <f>IFERROR(VLOOKUP($A343,'Consolidate List'!$A$2:$P$1048576,11,FALSE),"")</f>
        <v/>
      </c>
      <c r="H343" t="str">
        <f>IFERROR(VLOOKUP($A343,'Consolidate List'!$A$2:$P$1048576,9,FALSE),"")</f>
        <v/>
      </c>
      <c r="I343" t="str">
        <f>IFERROR(VLOOKUP($A343,'Consolidate List'!$A$2:$P$1048576,10,FALSE),"")</f>
        <v/>
      </c>
      <c r="J343" t="str">
        <f>IFERROR(_xlfn.CONCAT((VLOOKUP($A343,'Consolidate List'!$A$2:$P$1048576,5,FALSE)),", ",VLOOKUP($A343,'Consolidate List'!$A$2:$P$1048576,6,FALSE)),"")</f>
        <v/>
      </c>
      <c r="K343" t="str">
        <f>IFERROR(VLOOKUP($A343,'Consolidate List'!$A$2:$P$1048576,17,FALSE),"")</f>
        <v/>
      </c>
    </row>
    <row r="344" spans="1:11" x14ac:dyDescent="0.35">
      <c r="A344" t="str">
        <f>IFERROR(Tableau1[[#This Row],[ID Unique]],"")</f>
        <v/>
      </c>
      <c r="B344" t="str">
        <f>IFERROR(VLOOKUP($A344,'Consolidate List'!$A$2:$P$1048576,15,FALSE),"")</f>
        <v/>
      </c>
      <c r="C344" t="str">
        <f>IFERROR(VLOOKUP($A344,'Consolidate List'!$A$2:$P$1048576,16,FALSE),"")</f>
        <v/>
      </c>
      <c r="D344" t="str">
        <f>IFERROR(VLOOKUP($A344,'Consolidate List'!$A$2:$P$1048576,8,FALSE),"")</f>
        <v/>
      </c>
      <c r="F344" t="str">
        <f>IFERROR(VLOOKUP($A344,'Consolidate List'!$A$2:$P$1048576,12,FALSE),"")</f>
        <v/>
      </c>
      <c r="G344" t="str">
        <f>IFERROR(VLOOKUP($A344,'Consolidate List'!$A$2:$P$1048576,11,FALSE),"")</f>
        <v/>
      </c>
      <c r="H344" t="str">
        <f>IFERROR(VLOOKUP($A344,'Consolidate List'!$A$2:$P$1048576,9,FALSE),"")</f>
        <v/>
      </c>
      <c r="I344" t="str">
        <f>IFERROR(VLOOKUP($A344,'Consolidate List'!$A$2:$P$1048576,10,FALSE),"")</f>
        <v/>
      </c>
      <c r="J344" t="str">
        <f>IFERROR(_xlfn.CONCAT((VLOOKUP($A344,'Consolidate List'!$A$2:$P$1048576,5,FALSE)),", ",VLOOKUP($A344,'Consolidate List'!$A$2:$P$1048576,6,FALSE)),"")</f>
        <v/>
      </c>
      <c r="K344" t="str">
        <f>IFERROR(VLOOKUP($A344,'Consolidate List'!$A$2:$P$1048576,17,FALSE),"")</f>
        <v/>
      </c>
    </row>
    <row r="345" spans="1:11" x14ac:dyDescent="0.35">
      <c r="A345" t="str">
        <f>IFERROR(Tableau1[[#This Row],[ID Unique]],"")</f>
        <v/>
      </c>
      <c r="B345" t="str">
        <f>IFERROR(VLOOKUP($A345,'Consolidate List'!$A$2:$P$1048576,15,FALSE),"")</f>
        <v/>
      </c>
      <c r="C345" t="str">
        <f>IFERROR(VLOOKUP($A345,'Consolidate List'!$A$2:$P$1048576,16,FALSE),"")</f>
        <v/>
      </c>
      <c r="D345" t="str">
        <f>IFERROR(VLOOKUP($A345,'Consolidate List'!$A$2:$P$1048576,8,FALSE),"")</f>
        <v/>
      </c>
      <c r="F345" t="str">
        <f>IFERROR(VLOOKUP($A345,'Consolidate List'!$A$2:$P$1048576,12,FALSE),"")</f>
        <v/>
      </c>
      <c r="G345" t="str">
        <f>IFERROR(VLOOKUP($A345,'Consolidate List'!$A$2:$P$1048576,11,FALSE),"")</f>
        <v/>
      </c>
      <c r="H345" t="str">
        <f>IFERROR(VLOOKUP($A345,'Consolidate List'!$A$2:$P$1048576,9,FALSE),"")</f>
        <v/>
      </c>
      <c r="I345" t="str">
        <f>IFERROR(VLOOKUP($A345,'Consolidate List'!$A$2:$P$1048576,10,FALSE),"")</f>
        <v/>
      </c>
      <c r="J345" t="str">
        <f>IFERROR(_xlfn.CONCAT((VLOOKUP($A345,'Consolidate List'!$A$2:$P$1048576,5,FALSE)),", ",VLOOKUP($A345,'Consolidate List'!$A$2:$P$1048576,6,FALSE)),"")</f>
        <v/>
      </c>
      <c r="K345" t="str">
        <f>IFERROR(VLOOKUP($A345,'Consolidate List'!$A$2:$P$1048576,17,FALSE),"")</f>
        <v/>
      </c>
    </row>
    <row r="346" spans="1:11" x14ac:dyDescent="0.35">
      <c r="A346" t="str">
        <f>IFERROR(Tableau1[[#This Row],[ID Unique]],"")</f>
        <v/>
      </c>
      <c r="B346" t="str">
        <f>IFERROR(VLOOKUP($A346,'Consolidate List'!$A$2:$P$1048576,15,FALSE),"")</f>
        <v/>
      </c>
      <c r="C346" t="str">
        <f>IFERROR(VLOOKUP($A346,'Consolidate List'!$A$2:$P$1048576,16,FALSE),"")</f>
        <v/>
      </c>
      <c r="D346" t="str">
        <f>IFERROR(VLOOKUP($A346,'Consolidate List'!$A$2:$P$1048576,8,FALSE),"")</f>
        <v/>
      </c>
      <c r="F346" t="str">
        <f>IFERROR(VLOOKUP($A346,'Consolidate List'!$A$2:$P$1048576,12,FALSE),"")</f>
        <v/>
      </c>
      <c r="G346" t="str">
        <f>IFERROR(VLOOKUP($A346,'Consolidate List'!$A$2:$P$1048576,11,FALSE),"")</f>
        <v/>
      </c>
      <c r="H346" t="str">
        <f>IFERROR(VLOOKUP($A346,'Consolidate List'!$A$2:$P$1048576,9,FALSE),"")</f>
        <v/>
      </c>
      <c r="I346" t="str">
        <f>IFERROR(VLOOKUP($A346,'Consolidate List'!$A$2:$P$1048576,10,FALSE),"")</f>
        <v/>
      </c>
      <c r="J346" t="str">
        <f>IFERROR(_xlfn.CONCAT((VLOOKUP($A346,'Consolidate List'!$A$2:$P$1048576,5,FALSE)),", ",VLOOKUP($A346,'Consolidate List'!$A$2:$P$1048576,6,FALSE)),"")</f>
        <v/>
      </c>
      <c r="K346" t="str">
        <f>IFERROR(VLOOKUP($A346,'Consolidate List'!$A$2:$P$1048576,17,FALSE),"")</f>
        <v/>
      </c>
    </row>
    <row r="347" spans="1:11" x14ac:dyDescent="0.35">
      <c r="A347" t="str">
        <f>IFERROR(Tableau1[[#This Row],[ID Unique]],"")</f>
        <v/>
      </c>
      <c r="B347" t="str">
        <f>IFERROR(VLOOKUP($A347,'Consolidate List'!$A$2:$P$1048576,15,FALSE),"")</f>
        <v/>
      </c>
      <c r="C347" t="str">
        <f>IFERROR(VLOOKUP($A347,'Consolidate List'!$A$2:$P$1048576,16,FALSE),"")</f>
        <v/>
      </c>
      <c r="D347" t="str">
        <f>IFERROR(VLOOKUP($A347,'Consolidate List'!$A$2:$P$1048576,8,FALSE),"")</f>
        <v/>
      </c>
      <c r="F347" t="str">
        <f>IFERROR(VLOOKUP($A347,'Consolidate List'!$A$2:$P$1048576,12,FALSE),"")</f>
        <v/>
      </c>
      <c r="G347" t="str">
        <f>IFERROR(VLOOKUP($A347,'Consolidate List'!$A$2:$P$1048576,11,FALSE),"")</f>
        <v/>
      </c>
      <c r="H347" t="str">
        <f>IFERROR(VLOOKUP($A347,'Consolidate List'!$A$2:$P$1048576,9,FALSE),"")</f>
        <v/>
      </c>
      <c r="I347" t="str">
        <f>IFERROR(VLOOKUP($A347,'Consolidate List'!$A$2:$P$1048576,10,FALSE),"")</f>
        <v/>
      </c>
      <c r="J347" t="str">
        <f>IFERROR(_xlfn.CONCAT((VLOOKUP($A347,'Consolidate List'!$A$2:$P$1048576,5,FALSE)),", ",VLOOKUP($A347,'Consolidate List'!$A$2:$P$1048576,6,FALSE)),"")</f>
        <v/>
      </c>
      <c r="K347" t="str">
        <f>IFERROR(VLOOKUP($A347,'Consolidate List'!$A$2:$P$1048576,17,FALSE),"")</f>
        <v/>
      </c>
    </row>
    <row r="348" spans="1:11" x14ac:dyDescent="0.35">
      <c r="A348" t="str">
        <f>IFERROR(Tableau1[[#This Row],[ID Unique]],"")</f>
        <v/>
      </c>
      <c r="B348" t="str">
        <f>IFERROR(VLOOKUP($A348,'Consolidate List'!$A$2:$P$1048576,15,FALSE),"")</f>
        <v/>
      </c>
      <c r="C348" t="str">
        <f>IFERROR(VLOOKUP($A348,'Consolidate List'!$A$2:$P$1048576,16,FALSE),"")</f>
        <v/>
      </c>
      <c r="D348" t="str">
        <f>IFERROR(VLOOKUP($A348,'Consolidate List'!$A$2:$P$1048576,8,FALSE),"")</f>
        <v/>
      </c>
      <c r="F348" t="str">
        <f>IFERROR(VLOOKUP($A348,'Consolidate List'!$A$2:$P$1048576,12,FALSE),"")</f>
        <v/>
      </c>
      <c r="G348" t="str">
        <f>IFERROR(VLOOKUP($A348,'Consolidate List'!$A$2:$P$1048576,11,FALSE),"")</f>
        <v/>
      </c>
      <c r="H348" t="str">
        <f>IFERROR(VLOOKUP($A348,'Consolidate List'!$A$2:$P$1048576,9,FALSE),"")</f>
        <v/>
      </c>
      <c r="I348" t="str">
        <f>IFERROR(VLOOKUP($A348,'Consolidate List'!$A$2:$P$1048576,10,FALSE),"")</f>
        <v/>
      </c>
      <c r="J348" t="str">
        <f>IFERROR(_xlfn.CONCAT((VLOOKUP($A348,'Consolidate List'!$A$2:$P$1048576,5,FALSE)),", ",VLOOKUP($A348,'Consolidate List'!$A$2:$P$1048576,6,FALSE)),"")</f>
        <v/>
      </c>
      <c r="K348" t="str">
        <f>IFERROR(VLOOKUP($A348,'Consolidate List'!$A$2:$P$1048576,17,FALSE),"")</f>
        <v/>
      </c>
    </row>
    <row r="349" spans="1:11" x14ac:dyDescent="0.35">
      <c r="A349" t="str">
        <f>IFERROR(Tableau1[[#This Row],[ID Unique]],"")</f>
        <v/>
      </c>
      <c r="B349" t="str">
        <f>IFERROR(VLOOKUP($A349,'Consolidate List'!$A$2:$P$1048576,15,FALSE),"")</f>
        <v/>
      </c>
      <c r="C349" t="str">
        <f>IFERROR(VLOOKUP($A349,'Consolidate List'!$A$2:$P$1048576,16,FALSE),"")</f>
        <v/>
      </c>
      <c r="D349" t="str">
        <f>IFERROR(VLOOKUP($A349,'Consolidate List'!$A$2:$P$1048576,8,FALSE),"")</f>
        <v/>
      </c>
      <c r="F349" t="str">
        <f>IFERROR(VLOOKUP($A349,'Consolidate List'!$A$2:$P$1048576,12,FALSE),"")</f>
        <v/>
      </c>
      <c r="G349" t="str">
        <f>IFERROR(VLOOKUP($A349,'Consolidate List'!$A$2:$P$1048576,11,FALSE),"")</f>
        <v/>
      </c>
      <c r="H349" t="str">
        <f>IFERROR(VLOOKUP($A349,'Consolidate List'!$A$2:$P$1048576,9,FALSE),"")</f>
        <v/>
      </c>
      <c r="I349" t="str">
        <f>IFERROR(VLOOKUP($A349,'Consolidate List'!$A$2:$P$1048576,10,FALSE),"")</f>
        <v/>
      </c>
      <c r="J349" t="str">
        <f>IFERROR(_xlfn.CONCAT((VLOOKUP($A349,'Consolidate List'!$A$2:$P$1048576,5,FALSE)),", ",VLOOKUP($A349,'Consolidate List'!$A$2:$P$1048576,6,FALSE)),"")</f>
        <v/>
      </c>
      <c r="K349" t="str">
        <f>IFERROR(VLOOKUP($A349,'Consolidate List'!$A$2:$P$1048576,17,FALSE),"")</f>
        <v/>
      </c>
    </row>
    <row r="350" spans="1:11" x14ac:dyDescent="0.35">
      <c r="A350" t="str">
        <f>IFERROR(Tableau1[[#This Row],[ID Unique]],"")</f>
        <v/>
      </c>
      <c r="B350" t="str">
        <f>IFERROR(VLOOKUP($A350,'Consolidate List'!$A$2:$P$1048576,15,FALSE),"")</f>
        <v/>
      </c>
      <c r="C350" t="str">
        <f>IFERROR(VLOOKUP($A350,'Consolidate List'!$A$2:$P$1048576,16,FALSE),"")</f>
        <v/>
      </c>
      <c r="D350" t="str">
        <f>IFERROR(VLOOKUP($A350,'Consolidate List'!$A$2:$P$1048576,8,FALSE),"")</f>
        <v/>
      </c>
      <c r="F350" t="str">
        <f>IFERROR(VLOOKUP($A350,'Consolidate List'!$A$2:$P$1048576,12,FALSE),"")</f>
        <v/>
      </c>
      <c r="G350" t="str">
        <f>IFERROR(VLOOKUP($A350,'Consolidate List'!$A$2:$P$1048576,11,FALSE),"")</f>
        <v/>
      </c>
      <c r="H350" t="str">
        <f>IFERROR(VLOOKUP($A350,'Consolidate List'!$A$2:$P$1048576,9,FALSE),"")</f>
        <v/>
      </c>
      <c r="I350" t="str">
        <f>IFERROR(VLOOKUP($A350,'Consolidate List'!$A$2:$P$1048576,10,FALSE),"")</f>
        <v/>
      </c>
      <c r="J350" t="str">
        <f>IFERROR(_xlfn.CONCAT((VLOOKUP($A350,'Consolidate List'!$A$2:$P$1048576,5,FALSE)),", ",VLOOKUP($A350,'Consolidate List'!$A$2:$P$1048576,6,FALSE)),"")</f>
        <v/>
      </c>
      <c r="K350" t="str">
        <f>IFERROR(VLOOKUP($A350,'Consolidate List'!$A$2:$P$1048576,17,FALSE),"")</f>
        <v/>
      </c>
    </row>
    <row r="351" spans="1:11" x14ac:dyDescent="0.35">
      <c r="A351" t="str">
        <f>IFERROR(Tableau1[[#This Row],[ID Unique]],"")</f>
        <v/>
      </c>
      <c r="B351" t="str">
        <f>IFERROR(VLOOKUP($A351,'Consolidate List'!$A$2:$P$1048576,15,FALSE),"")</f>
        <v/>
      </c>
      <c r="C351" t="str">
        <f>IFERROR(VLOOKUP($A351,'Consolidate List'!$A$2:$P$1048576,16,FALSE),"")</f>
        <v/>
      </c>
      <c r="D351" t="str">
        <f>IFERROR(VLOOKUP($A351,'Consolidate List'!$A$2:$P$1048576,8,FALSE),"")</f>
        <v/>
      </c>
      <c r="F351" t="str">
        <f>IFERROR(VLOOKUP($A351,'Consolidate List'!$A$2:$P$1048576,12,FALSE),"")</f>
        <v/>
      </c>
      <c r="G351" t="str">
        <f>IFERROR(VLOOKUP($A351,'Consolidate List'!$A$2:$P$1048576,11,FALSE),"")</f>
        <v/>
      </c>
      <c r="H351" t="str">
        <f>IFERROR(VLOOKUP($A351,'Consolidate List'!$A$2:$P$1048576,9,FALSE),"")</f>
        <v/>
      </c>
      <c r="I351" t="str">
        <f>IFERROR(VLOOKUP($A351,'Consolidate List'!$A$2:$P$1048576,10,FALSE),"")</f>
        <v/>
      </c>
      <c r="J351" t="str">
        <f>IFERROR(_xlfn.CONCAT((VLOOKUP($A351,'Consolidate List'!$A$2:$P$1048576,5,FALSE)),", ",VLOOKUP($A351,'Consolidate List'!$A$2:$P$1048576,6,FALSE)),"")</f>
        <v/>
      </c>
      <c r="K351" t="str">
        <f>IFERROR(VLOOKUP($A351,'Consolidate List'!$A$2:$P$1048576,17,FALSE),"")</f>
        <v/>
      </c>
    </row>
    <row r="352" spans="1:11" x14ac:dyDescent="0.35">
      <c r="A352" t="str">
        <f>IFERROR(Tableau1[[#This Row],[ID Unique]],"")</f>
        <v/>
      </c>
      <c r="B352" t="str">
        <f>IFERROR(VLOOKUP($A352,'Consolidate List'!$A$2:$P$1048576,15,FALSE),"")</f>
        <v/>
      </c>
      <c r="C352" t="str">
        <f>IFERROR(VLOOKUP($A352,'Consolidate List'!$A$2:$P$1048576,16,FALSE),"")</f>
        <v/>
      </c>
      <c r="D352" t="str">
        <f>IFERROR(VLOOKUP($A352,'Consolidate List'!$A$2:$P$1048576,8,FALSE),"")</f>
        <v/>
      </c>
      <c r="F352" t="str">
        <f>IFERROR(VLOOKUP($A352,'Consolidate List'!$A$2:$P$1048576,12,FALSE),"")</f>
        <v/>
      </c>
      <c r="G352" t="str">
        <f>IFERROR(VLOOKUP($A352,'Consolidate List'!$A$2:$P$1048576,11,FALSE),"")</f>
        <v/>
      </c>
      <c r="H352" t="str">
        <f>IFERROR(VLOOKUP($A352,'Consolidate List'!$A$2:$P$1048576,9,FALSE),"")</f>
        <v/>
      </c>
      <c r="I352" t="str">
        <f>IFERROR(VLOOKUP($A352,'Consolidate List'!$A$2:$P$1048576,10,FALSE),"")</f>
        <v/>
      </c>
      <c r="J352" t="str">
        <f>IFERROR(_xlfn.CONCAT((VLOOKUP($A352,'Consolidate List'!$A$2:$P$1048576,5,FALSE)),", ",VLOOKUP($A352,'Consolidate List'!$A$2:$P$1048576,6,FALSE)),"")</f>
        <v/>
      </c>
      <c r="K352" t="str">
        <f>IFERROR(VLOOKUP($A352,'Consolidate List'!$A$2:$P$1048576,17,FALSE),"")</f>
        <v/>
      </c>
    </row>
    <row r="353" spans="1:11" x14ac:dyDescent="0.35">
      <c r="A353" t="str">
        <f>IFERROR(Tableau1[[#This Row],[ID Unique]],"")</f>
        <v/>
      </c>
      <c r="B353" t="str">
        <f>IFERROR(VLOOKUP($A353,'Consolidate List'!$A$2:$P$1048576,15,FALSE),"")</f>
        <v/>
      </c>
      <c r="C353" t="str">
        <f>IFERROR(VLOOKUP($A353,'Consolidate List'!$A$2:$P$1048576,16,FALSE),"")</f>
        <v/>
      </c>
      <c r="D353" t="str">
        <f>IFERROR(VLOOKUP($A353,'Consolidate List'!$A$2:$P$1048576,8,FALSE),"")</f>
        <v/>
      </c>
      <c r="F353" t="str">
        <f>IFERROR(VLOOKUP($A353,'Consolidate List'!$A$2:$P$1048576,12,FALSE),"")</f>
        <v/>
      </c>
      <c r="G353" t="str">
        <f>IFERROR(VLOOKUP($A353,'Consolidate List'!$A$2:$P$1048576,11,FALSE),"")</f>
        <v/>
      </c>
      <c r="H353" t="str">
        <f>IFERROR(VLOOKUP($A353,'Consolidate List'!$A$2:$P$1048576,9,FALSE),"")</f>
        <v/>
      </c>
      <c r="I353" t="str">
        <f>IFERROR(VLOOKUP($A353,'Consolidate List'!$A$2:$P$1048576,10,FALSE),"")</f>
        <v/>
      </c>
      <c r="J353" t="str">
        <f>IFERROR(_xlfn.CONCAT((VLOOKUP($A353,'Consolidate List'!$A$2:$P$1048576,5,FALSE)),", ",VLOOKUP($A353,'Consolidate List'!$A$2:$P$1048576,6,FALSE)),"")</f>
        <v/>
      </c>
      <c r="K353" t="str">
        <f>IFERROR(VLOOKUP($A353,'Consolidate List'!$A$2:$P$1048576,17,FALSE),"")</f>
        <v/>
      </c>
    </row>
    <row r="354" spans="1:11" x14ac:dyDescent="0.35">
      <c r="A354" t="str">
        <f>IFERROR(Tableau1[[#This Row],[ID Unique]],"")</f>
        <v/>
      </c>
      <c r="B354" t="str">
        <f>IFERROR(VLOOKUP($A354,'Consolidate List'!$A$2:$P$1048576,15,FALSE),"")</f>
        <v/>
      </c>
      <c r="C354" t="str">
        <f>IFERROR(VLOOKUP($A354,'Consolidate List'!$A$2:$P$1048576,16,FALSE),"")</f>
        <v/>
      </c>
      <c r="D354" t="str">
        <f>IFERROR(VLOOKUP($A354,'Consolidate List'!$A$2:$P$1048576,8,FALSE),"")</f>
        <v/>
      </c>
      <c r="F354" t="str">
        <f>IFERROR(VLOOKUP($A354,'Consolidate List'!$A$2:$P$1048576,12,FALSE),"")</f>
        <v/>
      </c>
      <c r="G354" t="str">
        <f>IFERROR(VLOOKUP($A354,'Consolidate List'!$A$2:$P$1048576,11,FALSE),"")</f>
        <v/>
      </c>
      <c r="H354" t="str">
        <f>IFERROR(VLOOKUP($A354,'Consolidate List'!$A$2:$P$1048576,9,FALSE),"")</f>
        <v/>
      </c>
      <c r="I354" t="str">
        <f>IFERROR(VLOOKUP($A354,'Consolidate List'!$A$2:$P$1048576,10,FALSE),"")</f>
        <v/>
      </c>
      <c r="J354" t="str">
        <f>IFERROR(_xlfn.CONCAT((VLOOKUP($A354,'Consolidate List'!$A$2:$P$1048576,5,FALSE)),", ",VLOOKUP($A354,'Consolidate List'!$A$2:$P$1048576,6,FALSE)),"")</f>
        <v/>
      </c>
      <c r="K354" t="str">
        <f>IFERROR(VLOOKUP($A354,'Consolidate List'!$A$2:$P$1048576,17,FALSE),"")</f>
        <v/>
      </c>
    </row>
    <row r="355" spans="1:11" x14ac:dyDescent="0.35">
      <c r="A355" t="str">
        <f>IFERROR(Tableau1[[#This Row],[ID Unique]],"")</f>
        <v/>
      </c>
      <c r="B355" t="str">
        <f>IFERROR(VLOOKUP($A355,'Consolidate List'!$A$2:$P$1048576,15,FALSE),"")</f>
        <v/>
      </c>
      <c r="C355" t="str">
        <f>IFERROR(VLOOKUP($A355,'Consolidate List'!$A$2:$P$1048576,16,FALSE),"")</f>
        <v/>
      </c>
      <c r="D355" t="str">
        <f>IFERROR(VLOOKUP($A355,'Consolidate List'!$A$2:$P$1048576,8,FALSE),"")</f>
        <v/>
      </c>
      <c r="F355" t="str">
        <f>IFERROR(VLOOKUP($A355,'Consolidate List'!$A$2:$P$1048576,12,FALSE),"")</f>
        <v/>
      </c>
      <c r="G355" t="str">
        <f>IFERROR(VLOOKUP($A355,'Consolidate List'!$A$2:$P$1048576,11,FALSE),"")</f>
        <v/>
      </c>
      <c r="H355" t="str">
        <f>IFERROR(VLOOKUP($A355,'Consolidate List'!$A$2:$P$1048576,9,FALSE),"")</f>
        <v/>
      </c>
      <c r="I355" t="str">
        <f>IFERROR(VLOOKUP($A355,'Consolidate List'!$A$2:$P$1048576,10,FALSE),"")</f>
        <v/>
      </c>
      <c r="J355" t="str">
        <f>IFERROR(_xlfn.CONCAT((VLOOKUP($A355,'Consolidate List'!$A$2:$P$1048576,5,FALSE)),", ",VLOOKUP($A355,'Consolidate List'!$A$2:$P$1048576,6,FALSE)),"")</f>
        <v/>
      </c>
      <c r="K355" t="str">
        <f>IFERROR(VLOOKUP($A355,'Consolidate List'!$A$2:$P$1048576,17,FALSE),"")</f>
        <v/>
      </c>
    </row>
    <row r="356" spans="1:11" x14ac:dyDescent="0.35">
      <c r="A356" t="str">
        <f>IFERROR(Tableau1[[#This Row],[ID Unique]],"")</f>
        <v/>
      </c>
      <c r="B356" t="str">
        <f>IFERROR(VLOOKUP($A356,'Consolidate List'!$A$2:$P$1048576,15,FALSE),"")</f>
        <v/>
      </c>
      <c r="C356" t="str">
        <f>IFERROR(VLOOKUP($A356,'Consolidate List'!$A$2:$P$1048576,16,FALSE),"")</f>
        <v/>
      </c>
      <c r="D356" t="str">
        <f>IFERROR(VLOOKUP($A356,'Consolidate List'!$A$2:$P$1048576,8,FALSE),"")</f>
        <v/>
      </c>
      <c r="F356" t="str">
        <f>IFERROR(VLOOKUP($A356,'Consolidate List'!$A$2:$P$1048576,12,FALSE),"")</f>
        <v/>
      </c>
      <c r="G356" t="str">
        <f>IFERROR(VLOOKUP($A356,'Consolidate List'!$A$2:$P$1048576,11,FALSE),"")</f>
        <v/>
      </c>
      <c r="H356" t="str">
        <f>IFERROR(VLOOKUP($A356,'Consolidate List'!$A$2:$P$1048576,9,FALSE),"")</f>
        <v/>
      </c>
      <c r="I356" t="str">
        <f>IFERROR(VLOOKUP($A356,'Consolidate List'!$A$2:$P$1048576,10,FALSE),"")</f>
        <v/>
      </c>
      <c r="J356" t="str">
        <f>IFERROR(_xlfn.CONCAT((VLOOKUP($A356,'Consolidate List'!$A$2:$P$1048576,5,FALSE)),", ",VLOOKUP($A356,'Consolidate List'!$A$2:$P$1048576,6,FALSE)),"")</f>
        <v/>
      </c>
      <c r="K356" t="str">
        <f>IFERROR(VLOOKUP($A356,'Consolidate List'!$A$2:$P$1048576,17,FALSE),"")</f>
        <v/>
      </c>
    </row>
    <row r="357" spans="1:11" x14ac:dyDescent="0.35">
      <c r="A357" t="str">
        <f>IFERROR(Tableau1[[#This Row],[ID Unique]],"")</f>
        <v/>
      </c>
      <c r="B357" t="str">
        <f>IFERROR(VLOOKUP($A357,'Consolidate List'!$A$2:$P$1048576,15,FALSE),"")</f>
        <v/>
      </c>
      <c r="C357" t="str">
        <f>IFERROR(VLOOKUP($A357,'Consolidate List'!$A$2:$P$1048576,16,FALSE),"")</f>
        <v/>
      </c>
      <c r="D357" t="str">
        <f>IFERROR(VLOOKUP($A357,'Consolidate List'!$A$2:$P$1048576,8,FALSE),"")</f>
        <v/>
      </c>
      <c r="F357" t="str">
        <f>IFERROR(VLOOKUP($A357,'Consolidate List'!$A$2:$P$1048576,12,FALSE),"")</f>
        <v/>
      </c>
      <c r="G357" t="str">
        <f>IFERROR(VLOOKUP($A357,'Consolidate List'!$A$2:$P$1048576,11,FALSE),"")</f>
        <v/>
      </c>
      <c r="H357" t="str">
        <f>IFERROR(VLOOKUP($A357,'Consolidate List'!$A$2:$P$1048576,9,FALSE),"")</f>
        <v/>
      </c>
      <c r="I357" t="str">
        <f>IFERROR(VLOOKUP($A357,'Consolidate List'!$A$2:$P$1048576,10,FALSE),"")</f>
        <v/>
      </c>
      <c r="J357" t="str">
        <f>IFERROR(_xlfn.CONCAT((VLOOKUP($A357,'Consolidate List'!$A$2:$P$1048576,5,FALSE)),", ",VLOOKUP($A357,'Consolidate List'!$A$2:$P$1048576,6,FALSE)),"")</f>
        <v/>
      </c>
      <c r="K357" t="str">
        <f>IFERROR(VLOOKUP($A357,'Consolidate List'!$A$2:$P$1048576,17,FALSE),"")</f>
        <v/>
      </c>
    </row>
    <row r="358" spans="1:11" x14ac:dyDescent="0.35">
      <c r="A358" t="str">
        <f>IFERROR(Tableau1[[#This Row],[ID Unique]],"")</f>
        <v/>
      </c>
      <c r="B358" t="str">
        <f>IFERROR(VLOOKUP($A358,'Consolidate List'!$A$2:$P$1048576,15,FALSE),"")</f>
        <v/>
      </c>
      <c r="C358" t="str">
        <f>IFERROR(VLOOKUP($A358,'Consolidate List'!$A$2:$P$1048576,16,FALSE),"")</f>
        <v/>
      </c>
      <c r="D358" t="str">
        <f>IFERROR(VLOOKUP($A358,'Consolidate List'!$A$2:$P$1048576,8,FALSE),"")</f>
        <v/>
      </c>
      <c r="F358" t="str">
        <f>IFERROR(VLOOKUP($A358,'Consolidate List'!$A$2:$P$1048576,12,FALSE),"")</f>
        <v/>
      </c>
      <c r="G358" t="str">
        <f>IFERROR(VLOOKUP($A358,'Consolidate List'!$A$2:$P$1048576,11,FALSE),"")</f>
        <v/>
      </c>
      <c r="H358" t="str">
        <f>IFERROR(VLOOKUP($A358,'Consolidate List'!$A$2:$P$1048576,9,FALSE),"")</f>
        <v/>
      </c>
      <c r="I358" t="str">
        <f>IFERROR(VLOOKUP($A358,'Consolidate List'!$A$2:$P$1048576,10,FALSE),"")</f>
        <v/>
      </c>
      <c r="J358" t="str">
        <f>IFERROR(_xlfn.CONCAT((VLOOKUP($A358,'Consolidate List'!$A$2:$P$1048576,5,FALSE)),", ",VLOOKUP($A358,'Consolidate List'!$A$2:$P$1048576,6,FALSE)),"")</f>
        <v/>
      </c>
      <c r="K358" t="str">
        <f>IFERROR(VLOOKUP($A358,'Consolidate List'!$A$2:$P$1048576,17,FALSE),"")</f>
        <v/>
      </c>
    </row>
    <row r="359" spans="1:11" x14ac:dyDescent="0.35">
      <c r="A359" t="str">
        <f>IFERROR(Tableau1[[#This Row],[ID Unique]],"")</f>
        <v/>
      </c>
      <c r="B359" t="str">
        <f>IFERROR(VLOOKUP($A359,'Consolidate List'!$A$2:$P$1048576,15,FALSE),"")</f>
        <v/>
      </c>
      <c r="C359" t="str">
        <f>IFERROR(VLOOKUP($A359,'Consolidate List'!$A$2:$P$1048576,16,FALSE),"")</f>
        <v/>
      </c>
      <c r="D359" t="str">
        <f>IFERROR(VLOOKUP($A359,'Consolidate List'!$A$2:$P$1048576,8,FALSE),"")</f>
        <v/>
      </c>
      <c r="F359" t="str">
        <f>IFERROR(VLOOKUP($A359,'Consolidate List'!$A$2:$P$1048576,12,FALSE),"")</f>
        <v/>
      </c>
      <c r="G359" t="str">
        <f>IFERROR(VLOOKUP($A359,'Consolidate List'!$A$2:$P$1048576,11,FALSE),"")</f>
        <v/>
      </c>
      <c r="H359" t="str">
        <f>IFERROR(VLOOKUP($A359,'Consolidate List'!$A$2:$P$1048576,9,FALSE),"")</f>
        <v/>
      </c>
      <c r="I359" t="str">
        <f>IFERROR(VLOOKUP($A359,'Consolidate List'!$A$2:$P$1048576,10,FALSE),"")</f>
        <v/>
      </c>
      <c r="J359" t="str">
        <f>IFERROR(_xlfn.CONCAT((VLOOKUP($A359,'Consolidate List'!$A$2:$P$1048576,5,FALSE)),", ",VLOOKUP($A359,'Consolidate List'!$A$2:$P$1048576,6,FALSE)),"")</f>
        <v/>
      </c>
      <c r="K359" t="str">
        <f>IFERROR(VLOOKUP($A359,'Consolidate List'!$A$2:$P$1048576,17,FALSE),"")</f>
        <v/>
      </c>
    </row>
    <row r="360" spans="1:11" x14ac:dyDescent="0.35">
      <c r="A360" t="str">
        <f>IFERROR(Tableau1[[#This Row],[ID Unique]],"")</f>
        <v/>
      </c>
      <c r="B360" t="str">
        <f>IFERROR(VLOOKUP($A360,'Consolidate List'!$A$2:$P$1048576,15,FALSE),"")</f>
        <v/>
      </c>
      <c r="C360" t="str">
        <f>IFERROR(VLOOKUP($A360,'Consolidate List'!$A$2:$P$1048576,16,FALSE),"")</f>
        <v/>
      </c>
      <c r="D360" t="str">
        <f>IFERROR(VLOOKUP($A360,'Consolidate List'!$A$2:$P$1048576,8,FALSE),"")</f>
        <v/>
      </c>
      <c r="F360" t="str">
        <f>IFERROR(VLOOKUP($A360,'Consolidate List'!$A$2:$P$1048576,12,FALSE),"")</f>
        <v/>
      </c>
      <c r="G360" t="str">
        <f>IFERROR(VLOOKUP($A360,'Consolidate List'!$A$2:$P$1048576,11,FALSE),"")</f>
        <v/>
      </c>
      <c r="H360" t="str">
        <f>IFERROR(VLOOKUP($A360,'Consolidate List'!$A$2:$P$1048576,9,FALSE),"")</f>
        <v/>
      </c>
      <c r="I360" t="str">
        <f>IFERROR(VLOOKUP($A360,'Consolidate List'!$A$2:$P$1048576,10,FALSE),"")</f>
        <v/>
      </c>
      <c r="J360" t="str">
        <f>IFERROR(_xlfn.CONCAT((VLOOKUP($A360,'Consolidate List'!$A$2:$P$1048576,5,FALSE)),", ",VLOOKUP($A360,'Consolidate List'!$A$2:$P$1048576,6,FALSE)),"")</f>
        <v/>
      </c>
      <c r="K360" t="str">
        <f>IFERROR(VLOOKUP($A360,'Consolidate List'!$A$2:$P$1048576,17,FALSE),"")</f>
        <v/>
      </c>
    </row>
    <row r="361" spans="1:11" x14ac:dyDescent="0.35">
      <c r="A361" t="str">
        <f>IFERROR(Tableau1[[#This Row],[ID Unique]],"")</f>
        <v/>
      </c>
      <c r="B361" t="str">
        <f>IFERROR(VLOOKUP($A361,'Consolidate List'!$A$2:$P$1048576,15,FALSE),"")</f>
        <v/>
      </c>
      <c r="C361" t="str">
        <f>IFERROR(VLOOKUP($A361,'Consolidate List'!$A$2:$P$1048576,16,FALSE),"")</f>
        <v/>
      </c>
      <c r="D361" t="str">
        <f>IFERROR(VLOOKUP($A361,'Consolidate List'!$A$2:$P$1048576,8,FALSE),"")</f>
        <v/>
      </c>
      <c r="F361" t="str">
        <f>IFERROR(VLOOKUP($A361,'Consolidate List'!$A$2:$P$1048576,12,FALSE),"")</f>
        <v/>
      </c>
      <c r="G361" t="str">
        <f>IFERROR(VLOOKUP($A361,'Consolidate List'!$A$2:$P$1048576,11,FALSE),"")</f>
        <v/>
      </c>
      <c r="H361" t="str">
        <f>IFERROR(VLOOKUP($A361,'Consolidate List'!$A$2:$P$1048576,9,FALSE),"")</f>
        <v/>
      </c>
      <c r="I361" t="str">
        <f>IFERROR(VLOOKUP($A361,'Consolidate List'!$A$2:$P$1048576,10,FALSE),"")</f>
        <v/>
      </c>
      <c r="J361" t="str">
        <f>IFERROR(_xlfn.CONCAT((VLOOKUP($A361,'Consolidate List'!$A$2:$P$1048576,5,FALSE)),", ",VLOOKUP($A361,'Consolidate List'!$A$2:$P$1048576,6,FALSE)),"")</f>
        <v/>
      </c>
      <c r="K361" t="str">
        <f>IFERROR(VLOOKUP($A361,'Consolidate List'!$A$2:$P$1048576,17,FALSE),"")</f>
        <v/>
      </c>
    </row>
    <row r="362" spans="1:11" x14ac:dyDescent="0.35">
      <c r="A362" t="str">
        <f>IFERROR(Tableau1[[#This Row],[ID Unique]],"")</f>
        <v/>
      </c>
      <c r="B362" t="str">
        <f>IFERROR(VLOOKUP($A362,'Consolidate List'!$A$2:$P$1048576,15,FALSE),"")</f>
        <v/>
      </c>
      <c r="C362" t="str">
        <f>IFERROR(VLOOKUP($A362,'Consolidate List'!$A$2:$P$1048576,16,FALSE),"")</f>
        <v/>
      </c>
      <c r="D362" t="str">
        <f>IFERROR(VLOOKUP($A362,'Consolidate List'!$A$2:$P$1048576,8,FALSE),"")</f>
        <v/>
      </c>
      <c r="F362" t="str">
        <f>IFERROR(VLOOKUP($A362,'Consolidate List'!$A$2:$P$1048576,12,FALSE),"")</f>
        <v/>
      </c>
      <c r="G362" t="str">
        <f>IFERROR(VLOOKUP($A362,'Consolidate List'!$A$2:$P$1048576,11,FALSE),"")</f>
        <v/>
      </c>
      <c r="H362" t="str">
        <f>IFERROR(VLOOKUP($A362,'Consolidate List'!$A$2:$P$1048576,9,FALSE),"")</f>
        <v/>
      </c>
      <c r="I362" t="str">
        <f>IFERROR(VLOOKUP($A362,'Consolidate List'!$A$2:$P$1048576,10,FALSE),"")</f>
        <v/>
      </c>
      <c r="J362" t="str">
        <f>IFERROR(_xlfn.CONCAT((VLOOKUP($A362,'Consolidate List'!$A$2:$P$1048576,5,FALSE)),", ",VLOOKUP($A362,'Consolidate List'!$A$2:$P$1048576,6,FALSE)),"")</f>
        <v/>
      </c>
      <c r="K362" t="str">
        <f>IFERROR(VLOOKUP($A362,'Consolidate List'!$A$2:$P$1048576,17,FALSE),"")</f>
        <v/>
      </c>
    </row>
    <row r="363" spans="1:11" x14ac:dyDescent="0.35">
      <c r="A363" t="str">
        <f>IFERROR(Tableau1[[#This Row],[ID Unique]],"")</f>
        <v/>
      </c>
      <c r="B363" t="str">
        <f>IFERROR(VLOOKUP($A363,'Consolidate List'!$A$2:$P$1048576,15,FALSE),"")</f>
        <v/>
      </c>
      <c r="C363" t="str">
        <f>IFERROR(VLOOKUP($A363,'Consolidate List'!$A$2:$P$1048576,16,FALSE),"")</f>
        <v/>
      </c>
      <c r="D363" t="str">
        <f>IFERROR(VLOOKUP($A363,'Consolidate List'!$A$2:$P$1048576,8,FALSE),"")</f>
        <v/>
      </c>
      <c r="F363" t="str">
        <f>IFERROR(VLOOKUP($A363,'Consolidate List'!$A$2:$P$1048576,12,FALSE),"")</f>
        <v/>
      </c>
      <c r="G363" t="str">
        <f>IFERROR(VLOOKUP($A363,'Consolidate List'!$A$2:$P$1048576,11,FALSE),"")</f>
        <v/>
      </c>
      <c r="H363" t="str">
        <f>IFERROR(VLOOKUP($A363,'Consolidate List'!$A$2:$P$1048576,9,FALSE),"")</f>
        <v/>
      </c>
      <c r="I363" t="str">
        <f>IFERROR(VLOOKUP($A363,'Consolidate List'!$A$2:$P$1048576,10,FALSE),"")</f>
        <v/>
      </c>
      <c r="J363" t="str">
        <f>IFERROR(_xlfn.CONCAT((VLOOKUP($A363,'Consolidate List'!$A$2:$P$1048576,5,FALSE)),", ",VLOOKUP($A363,'Consolidate List'!$A$2:$P$1048576,6,FALSE)),"")</f>
        <v/>
      </c>
      <c r="K363" t="str">
        <f>IFERROR(VLOOKUP($A363,'Consolidate List'!$A$2:$P$1048576,17,FALSE),"")</f>
        <v/>
      </c>
    </row>
    <row r="364" spans="1:11" x14ac:dyDescent="0.35">
      <c r="A364" t="str">
        <f>IFERROR(Tableau1[[#This Row],[ID Unique]],"")</f>
        <v/>
      </c>
      <c r="B364" t="str">
        <f>IFERROR(VLOOKUP($A364,'Consolidate List'!$A$2:$P$1048576,15,FALSE),"")</f>
        <v/>
      </c>
      <c r="C364" t="str">
        <f>IFERROR(VLOOKUP($A364,'Consolidate List'!$A$2:$P$1048576,16,FALSE),"")</f>
        <v/>
      </c>
      <c r="D364" t="str">
        <f>IFERROR(VLOOKUP($A364,'Consolidate List'!$A$2:$P$1048576,8,FALSE),"")</f>
        <v/>
      </c>
      <c r="F364" t="str">
        <f>IFERROR(VLOOKUP($A364,'Consolidate List'!$A$2:$P$1048576,12,FALSE),"")</f>
        <v/>
      </c>
      <c r="G364" t="str">
        <f>IFERROR(VLOOKUP($A364,'Consolidate List'!$A$2:$P$1048576,11,FALSE),"")</f>
        <v/>
      </c>
      <c r="H364" t="str">
        <f>IFERROR(VLOOKUP($A364,'Consolidate List'!$A$2:$P$1048576,9,FALSE),"")</f>
        <v/>
      </c>
      <c r="I364" t="str">
        <f>IFERROR(VLOOKUP($A364,'Consolidate List'!$A$2:$P$1048576,10,FALSE),"")</f>
        <v/>
      </c>
      <c r="J364" t="str">
        <f>IFERROR(_xlfn.CONCAT((VLOOKUP($A364,'Consolidate List'!$A$2:$P$1048576,5,FALSE)),", ",VLOOKUP($A364,'Consolidate List'!$A$2:$P$1048576,6,FALSE)),"")</f>
        <v/>
      </c>
      <c r="K364" t="str">
        <f>IFERROR(VLOOKUP($A364,'Consolidate List'!$A$2:$P$1048576,17,FALSE),"")</f>
        <v/>
      </c>
    </row>
    <row r="365" spans="1:11" x14ac:dyDescent="0.35">
      <c r="A365" t="str">
        <f>IFERROR(Tableau1[[#This Row],[ID Unique]],"")</f>
        <v/>
      </c>
      <c r="B365" t="str">
        <f>IFERROR(VLOOKUP($A365,'Consolidate List'!$A$2:$P$1048576,15,FALSE),"")</f>
        <v/>
      </c>
      <c r="C365" t="str">
        <f>IFERROR(VLOOKUP($A365,'Consolidate List'!$A$2:$P$1048576,16,FALSE),"")</f>
        <v/>
      </c>
      <c r="D365" t="str">
        <f>IFERROR(VLOOKUP($A365,'Consolidate List'!$A$2:$P$1048576,8,FALSE),"")</f>
        <v/>
      </c>
      <c r="F365" t="str">
        <f>IFERROR(VLOOKUP($A365,'Consolidate List'!$A$2:$P$1048576,12,FALSE),"")</f>
        <v/>
      </c>
      <c r="G365" t="str">
        <f>IFERROR(VLOOKUP($A365,'Consolidate List'!$A$2:$P$1048576,11,FALSE),"")</f>
        <v/>
      </c>
      <c r="H365" t="str">
        <f>IFERROR(VLOOKUP($A365,'Consolidate List'!$A$2:$P$1048576,9,FALSE),"")</f>
        <v/>
      </c>
      <c r="I365" t="str">
        <f>IFERROR(VLOOKUP($A365,'Consolidate List'!$A$2:$P$1048576,10,FALSE),"")</f>
        <v/>
      </c>
      <c r="J365" t="str">
        <f>IFERROR(_xlfn.CONCAT((VLOOKUP($A365,'Consolidate List'!$A$2:$P$1048576,5,FALSE)),", ",VLOOKUP($A365,'Consolidate List'!$A$2:$P$1048576,6,FALSE)),"")</f>
        <v/>
      </c>
      <c r="K365" t="str">
        <f>IFERROR(VLOOKUP($A365,'Consolidate List'!$A$2:$P$1048576,17,FALSE),"")</f>
        <v/>
      </c>
    </row>
    <row r="366" spans="1:11" x14ac:dyDescent="0.35">
      <c r="A366" t="str">
        <f>IFERROR(Tableau1[[#This Row],[ID Unique]],"")</f>
        <v/>
      </c>
      <c r="B366" t="str">
        <f>IFERROR(VLOOKUP($A366,'Consolidate List'!$A$2:$P$1048576,15,FALSE),"")</f>
        <v/>
      </c>
      <c r="C366" t="str">
        <f>IFERROR(VLOOKUP($A366,'Consolidate List'!$A$2:$P$1048576,16,FALSE),"")</f>
        <v/>
      </c>
      <c r="D366" t="str">
        <f>IFERROR(VLOOKUP($A366,'Consolidate List'!$A$2:$P$1048576,8,FALSE),"")</f>
        <v/>
      </c>
      <c r="F366" t="str">
        <f>IFERROR(VLOOKUP($A366,'Consolidate List'!$A$2:$P$1048576,12,FALSE),"")</f>
        <v/>
      </c>
      <c r="G366" t="str">
        <f>IFERROR(VLOOKUP($A366,'Consolidate List'!$A$2:$P$1048576,11,FALSE),"")</f>
        <v/>
      </c>
      <c r="H366" t="str">
        <f>IFERROR(VLOOKUP($A366,'Consolidate List'!$A$2:$P$1048576,9,FALSE),"")</f>
        <v/>
      </c>
      <c r="I366" t="str">
        <f>IFERROR(VLOOKUP($A366,'Consolidate List'!$A$2:$P$1048576,10,FALSE),"")</f>
        <v/>
      </c>
      <c r="J366" t="str">
        <f>IFERROR(_xlfn.CONCAT((VLOOKUP($A366,'Consolidate List'!$A$2:$P$1048576,5,FALSE)),", ",VLOOKUP($A366,'Consolidate List'!$A$2:$P$1048576,6,FALSE)),"")</f>
        <v/>
      </c>
      <c r="K366" t="str">
        <f>IFERROR(VLOOKUP($A366,'Consolidate List'!$A$2:$P$1048576,17,FALSE),"")</f>
        <v/>
      </c>
    </row>
    <row r="367" spans="1:11" x14ac:dyDescent="0.35">
      <c r="A367" t="str">
        <f>IFERROR(Tableau1[[#This Row],[ID Unique]],"")</f>
        <v/>
      </c>
      <c r="B367" t="str">
        <f>IFERROR(VLOOKUP($A367,'Consolidate List'!$A$2:$P$1048576,15,FALSE),"")</f>
        <v/>
      </c>
      <c r="C367" t="str">
        <f>IFERROR(VLOOKUP($A367,'Consolidate List'!$A$2:$P$1048576,16,FALSE),"")</f>
        <v/>
      </c>
      <c r="D367" t="str">
        <f>IFERROR(VLOOKUP($A367,'Consolidate List'!$A$2:$P$1048576,8,FALSE),"")</f>
        <v/>
      </c>
      <c r="F367" t="str">
        <f>IFERROR(VLOOKUP($A367,'Consolidate List'!$A$2:$P$1048576,12,FALSE),"")</f>
        <v/>
      </c>
      <c r="G367" t="str">
        <f>IFERROR(VLOOKUP($A367,'Consolidate List'!$A$2:$P$1048576,11,FALSE),"")</f>
        <v/>
      </c>
      <c r="H367" t="str">
        <f>IFERROR(VLOOKUP($A367,'Consolidate List'!$A$2:$P$1048576,9,FALSE),"")</f>
        <v/>
      </c>
      <c r="I367" t="str">
        <f>IFERROR(VLOOKUP($A367,'Consolidate List'!$A$2:$P$1048576,10,FALSE),"")</f>
        <v/>
      </c>
      <c r="J367" t="str">
        <f>IFERROR(_xlfn.CONCAT((VLOOKUP($A367,'Consolidate List'!$A$2:$P$1048576,5,FALSE)),", ",VLOOKUP($A367,'Consolidate List'!$A$2:$P$1048576,6,FALSE)),"")</f>
        <v/>
      </c>
      <c r="K367" t="str">
        <f>IFERROR(VLOOKUP($A367,'Consolidate List'!$A$2:$P$1048576,17,FALSE),"")</f>
        <v/>
      </c>
    </row>
    <row r="368" spans="1:11" x14ac:dyDescent="0.35">
      <c r="A368" t="str">
        <f>IFERROR(Tableau1[[#This Row],[ID Unique]],"")</f>
        <v/>
      </c>
      <c r="B368" t="str">
        <f>IFERROR(VLOOKUP($A368,'Consolidate List'!$A$2:$P$1048576,15,FALSE),"")</f>
        <v/>
      </c>
      <c r="C368" t="str">
        <f>IFERROR(VLOOKUP($A368,'Consolidate List'!$A$2:$P$1048576,16,FALSE),"")</f>
        <v/>
      </c>
      <c r="D368" t="str">
        <f>IFERROR(VLOOKUP($A368,'Consolidate List'!$A$2:$P$1048576,8,FALSE),"")</f>
        <v/>
      </c>
      <c r="F368" t="str">
        <f>IFERROR(VLOOKUP($A368,'Consolidate List'!$A$2:$P$1048576,12,FALSE),"")</f>
        <v/>
      </c>
      <c r="G368" t="str">
        <f>IFERROR(VLOOKUP($A368,'Consolidate List'!$A$2:$P$1048576,11,FALSE),"")</f>
        <v/>
      </c>
      <c r="H368" t="str">
        <f>IFERROR(VLOOKUP($A368,'Consolidate List'!$A$2:$P$1048576,9,FALSE),"")</f>
        <v/>
      </c>
      <c r="I368" t="str">
        <f>IFERROR(VLOOKUP($A368,'Consolidate List'!$A$2:$P$1048576,10,FALSE),"")</f>
        <v/>
      </c>
      <c r="J368" t="str">
        <f>IFERROR(_xlfn.CONCAT((VLOOKUP($A368,'Consolidate List'!$A$2:$P$1048576,5,FALSE)),", ",VLOOKUP($A368,'Consolidate List'!$A$2:$P$1048576,6,FALSE)),"")</f>
        <v/>
      </c>
      <c r="K368" t="str">
        <f>IFERROR(VLOOKUP($A368,'Consolidate List'!$A$2:$P$1048576,17,FALSE),"")</f>
        <v/>
      </c>
    </row>
    <row r="369" spans="1:11" x14ac:dyDescent="0.35">
      <c r="A369" t="str">
        <f>IFERROR(Tableau1[[#This Row],[ID Unique]],"")</f>
        <v/>
      </c>
      <c r="B369" t="str">
        <f>IFERROR(VLOOKUP($A369,'Consolidate List'!$A$2:$P$1048576,15,FALSE),"")</f>
        <v/>
      </c>
      <c r="C369" t="str">
        <f>IFERROR(VLOOKUP($A369,'Consolidate List'!$A$2:$P$1048576,16,FALSE),"")</f>
        <v/>
      </c>
      <c r="D369" t="str">
        <f>IFERROR(VLOOKUP($A369,'Consolidate List'!$A$2:$P$1048576,8,FALSE),"")</f>
        <v/>
      </c>
      <c r="F369" t="str">
        <f>IFERROR(VLOOKUP($A369,'Consolidate List'!$A$2:$P$1048576,12,FALSE),"")</f>
        <v/>
      </c>
      <c r="G369" t="str">
        <f>IFERROR(VLOOKUP($A369,'Consolidate List'!$A$2:$P$1048576,11,FALSE),"")</f>
        <v/>
      </c>
      <c r="H369" t="str">
        <f>IFERROR(VLOOKUP($A369,'Consolidate List'!$A$2:$P$1048576,9,FALSE),"")</f>
        <v/>
      </c>
      <c r="I369" t="str">
        <f>IFERROR(VLOOKUP($A369,'Consolidate List'!$A$2:$P$1048576,10,FALSE),"")</f>
        <v/>
      </c>
      <c r="J369" t="str">
        <f>IFERROR(_xlfn.CONCAT((VLOOKUP($A369,'Consolidate List'!$A$2:$P$1048576,5,FALSE)),", ",VLOOKUP($A369,'Consolidate List'!$A$2:$P$1048576,6,FALSE)),"")</f>
        <v/>
      </c>
      <c r="K369" t="str">
        <f>IFERROR(VLOOKUP($A369,'Consolidate List'!$A$2:$P$1048576,17,FALSE),"")</f>
        <v/>
      </c>
    </row>
    <row r="370" spans="1:11" x14ac:dyDescent="0.35">
      <c r="A370" t="str">
        <f>IFERROR(Tableau1[[#This Row],[ID Unique]],"")</f>
        <v/>
      </c>
      <c r="B370" t="str">
        <f>IFERROR(VLOOKUP($A370,'Consolidate List'!$A$2:$P$1048576,15,FALSE),"")</f>
        <v/>
      </c>
      <c r="C370" t="str">
        <f>IFERROR(VLOOKUP($A370,'Consolidate List'!$A$2:$P$1048576,16,FALSE),"")</f>
        <v/>
      </c>
      <c r="D370" t="str">
        <f>IFERROR(VLOOKUP($A370,'Consolidate List'!$A$2:$P$1048576,8,FALSE),"")</f>
        <v/>
      </c>
      <c r="F370" t="str">
        <f>IFERROR(VLOOKUP($A370,'Consolidate List'!$A$2:$P$1048576,12,FALSE),"")</f>
        <v/>
      </c>
      <c r="G370" t="str">
        <f>IFERROR(VLOOKUP($A370,'Consolidate List'!$A$2:$P$1048576,11,FALSE),"")</f>
        <v/>
      </c>
      <c r="H370" t="str">
        <f>IFERROR(VLOOKUP($A370,'Consolidate List'!$A$2:$P$1048576,9,FALSE),"")</f>
        <v/>
      </c>
      <c r="I370" t="str">
        <f>IFERROR(VLOOKUP($A370,'Consolidate List'!$A$2:$P$1048576,10,FALSE),"")</f>
        <v/>
      </c>
      <c r="J370" t="str">
        <f>IFERROR(_xlfn.CONCAT((VLOOKUP($A370,'Consolidate List'!$A$2:$P$1048576,5,FALSE)),", ",VLOOKUP($A370,'Consolidate List'!$A$2:$P$1048576,6,FALSE)),"")</f>
        <v/>
      </c>
      <c r="K370" t="str">
        <f>IFERROR(VLOOKUP($A370,'Consolidate List'!$A$2:$P$1048576,17,FALSE),"")</f>
        <v/>
      </c>
    </row>
    <row r="371" spans="1:11" x14ac:dyDescent="0.35">
      <c r="A371" t="str">
        <f>IFERROR(Tableau1[[#This Row],[ID Unique]],"")</f>
        <v/>
      </c>
      <c r="B371" t="str">
        <f>IFERROR(VLOOKUP($A371,'Consolidate List'!$A$2:$P$1048576,15,FALSE),"")</f>
        <v/>
      </c>
      <c r="C371" t="str">
        <f>IFERROR(VLOOKUP($A371,'Consolidate List'!$A$2:$P$1048576,16,FALSE),"")</f>
        <v/>
      </c>
      <c r="D371" t="str">
        <f>IFERROR(VLOOKUP($A371,'Consolidate List'!$A$2:$P$1048576,8,FALSE),"")</f>
        <v/>
      </c>
      <c r="F371" t="str">
        <f>IFERROR(VLOOKUP($A371,'Consolidate List'!$A$2:$P$1048576,12,FALSE),"")</f>
        <v/>
      </c>
      <c r="G371" t="str">
        <f>IFERROR(VLOOKUP($A371,'Consolidate List'!$A$2:$P$1048576,11,FALSE),"")</f>
        <v/>
      </c>
      <c r="H371" t="str">
        <f>IFERROR(VLOOKUP($A371,'Consolidate List'!$A$2:$P$1048576,9,FALSE),"")</f>
        <v/>
      </c>
      <c r="I371" t="str">
        <f>IFERROR(VLOOKUP($A371,'Consolidate List'!$A$2:$P$1048576,10,FALSE),"")</f>
        <v/>
      </c>
      <c r="J371" t="str">
        <f>IFERROR(_xlfn.CONCAT((VLOOKUP($A371,'Consolidate List'!$A$2:$P$1048576,5,FALSE)),", ",VLOOKUP($A371,'Consolidate List'!$A$2:$P$1048576,6,FALSE)),"")</f>
        <v/>
      </c>
      <c r="K371" t="str">
        <f>IFERROR(VLOOKUP($A371,'Consolidate List'!$A$2:$P$1048576,17,FALSE),"")</f>
        <v/>
      </c>
    </row>
    <row r="372" spans="1:11" x14ac:dyDescent="0.35">
      <c r="A372" t="str">
        <f>IFERROR(Tableau1[[#This Row],[ID Unique]],"")</f>
        <v/>
      </c>
      <c r="B372" t="str">
        <f>IFERROR(VLOOKUP($A372,'Consolidate List'!$A$2:$P$1048576,15,FALSE),"")</f>
        <v/>
      </c>
      <c r="C372" t="str">
        <f>IFERROR(VLOOKUP($A372,'Consolidate List'!$A$2:$P$1048576,16,FALSE),"")</f>
        <v/>
      </c>
      <c r="D372" t="str">
        <f>IFERROR(VLOOKUP($A372,'Consolidate List'!$A$2:$P$1048576,8,FALSE),"")</f>
        <v/>
      </c>
      <c r="F372" t="str">
        <f>IFERROR(VLOOKUP($A372,'Consolidate List'!$A$2:$P$1048576,12,FALSE),"")</f>
        <v/>
      </c>
      <c r="G372" t="str">
        <f>IFERROR(VLOOKUP($A372,'Consolidate List'!$A$2:$P$1048576,11,FALSE),"")</f>
        <v/>
      </c>
      <c r="H372" t="str">
        <f>IFERROR(VLOOKUP($A372,'Consolidate List'!$A$2:$P$1048576,9,FALSE),"")</f>
        <v/>
      </c>
      <c r="I372" t="str">
        <f>IFERROR(VLOOKUP($A372,'Consolidate List'!$A$2:$P$1048576,10,FALSE),"")</f>
        <v/>
      </c>
      <c r="J372" t="str">
        <f>IFERROR(_xlfn.CONCAT((VLOOKUP($A372,'Consolidate List'!$A$2:$P$1048576,5,FALSE)),", ",VLOOKUP($A372,'Consolidate List'!$A$2:$P$1048576,6,FALSE)),"")</f>
        <v/>
      </c>
      <c r="K372" t="str">
        <f>IFERROR(VLOOKUP($A372,'Consolidate List'!$A$2:$P$1048576,17,FALSE),"")</f>
        <v/>
      </c>
    </row>
    <row r="373" spans="1:11" x14ac:dyDescent="0.35">
      <c r="A373" t="str">
        <f>IFERROR(Tableau1[[#This Row],[ID Unique]],"")</f>
        <v/>
      </c>
      <c r="B373" t="str">
        <f>IFERROR(VLOOKUP($A373,'Consolidate List'!$A$2:$P$1048576,15,FALSE),"")</f>
        <v/>
      </c>
      <c r="C373" t="str">
        <f>IFERROR(VLOOKUP($A373,'Consolidate List'!$A$2:$P$1048576,16,FALSE),"")</f>
        <v/>
      </c>
      <c r="D373" t="str">
        <f>IFERROR(VLOOKUP($A373,'Consolidate List'!$A$2:$P$1048576,8,FALSE),"")</f>
        <v/>
      </c>
      <c r="F373" t="str">
        <f>IFERROR(VLOOKUP($A373,'Consolidate List'!$A$2:$P$1048576,12,FALSE),"")</f>
        <v/>
      </c>
      <c r="G373" t="str">
        <f>IFERROR(VLOOKUP($A373,'Consolidate List'!$A$2:$P$1048576,11,FALSE),"")</f>
        <v/>
      </c>
      <c r="H373" t="str">
        <f>IFERROR(VLOOKUP($A373,'Consolidate List'!$A$2:$P$1048576,9,FALSE),"")</f>
        <v/>
      </c>
      <c r="I373" t="str">
        <f>IFERROR(VLOOKUP($A373,'Consolidate List'!$A$2:$P$1048576,10,FALSE),"")</f>
        <v/>
      </c>
      <c r="J373" t="str">
        <f>IFERROR(_xlfn.CONCAT((VLOOKUP($A373,'Consolidate List'!$A$2:$P$1048576,5,FALSE)),", ",VLOOKUP($A373,'Consolidate List'!$A$2:$P$1048576,6,FALSE)),"")</f>
        <v/>
      </c>
      <c r="K373" t="str">
        <f>IFERROR(VLOOKUP($A373,'Consolidate List'!$A$2:$P$1048576,17,FALSE),"")</f>
        <v/>
      </c>
    </row>
    <row r="374" spans="1:11" x14ac:dyDescent="0.35">
      <c r="A374" t="str">
        <f>IFERROR(Tableau1[[#This Row],[ID Unique]],"")</f>
        <v/>
      </c>
      <c r="B374" t="str">
        <f>IFERROR(VLOOKUP($A374,'Consolidate List'!$A$2:$P$1048576,15,FALSE),"")</f>
        <v/>
      </c>
      <c r="C374" t="str">
        <f>IFERROR(VLOOKUP($A374,'Consolidate List'!$A$2:$P$1048576,16,FALSE),"")</f>
        <v/>
      </c>
      <c r="D374" t="str">
        <f>IFERROR(VLOOKUP($A374,'Consolidate List'!$A$2:$P$1048576,8,FALSE),"")</f>
        <v/>
      </c>
      <c r="F374" t="str">
        <f>IFERROR(VLOOKUP($A374,'Consolidate List'!$A$2:$P$1048576,12,FALSE),"")</f>
        <v/>
      </c>
      <c r="G374" t="str">
        <f>IFERROR(VLOOKUP($A374,'Consolidate List'!$A$2:$P$1048576,11,FALSE),"")</f>
        <v/>
      </c>
      <c r="H374" t="str">
        <f>IFERROR(VLOOKUP($A374,'Consolidate List'!$A$2:$P$1048576,9,FALSE),"")</f>
        <v/>
      </c>
      <c r="I374" t="str">
        <f>IFERROR(VLOOKUP($A374,'Consolidate List'!$A$2:$P$1048576,10,FALSE),"")</f>
        <v/>
      </c>
      <c r="J374" t="str">
        <f>IFERROR(_xlfn.CONCAT((VLOOKUP($A374,'Consolidate List'!$A$2:$P$1048576,5,FALSE)),", ",VLOOKUP($A374,'Consolidate List'!$A$2:$P$1048576,6,FALSE)),"")</f>
        <v/>
      </c>
      <c r="K374" t="str">
        <f>IFERROR(VLOOKUP($A374,'Consolidate List'!$A$2:$P$1048576,17,FALSE),"")</f>
        <v/>
      </c>
    </row>
    <row r="375" spans="1:11" x14ac:dyDescent="0.35">
      <c r="A375" t="str">
        <f>IFERROR(Tableau1[[#This Row],[ID Unique]],"")</f>
        <v/>
      </c>
      <c r="B375" t="str">
        <f>IFERROR(VLOOKUP($A375,'Consolidate List'!$A$2:$P$1048576,15,FALSE),"")</f>
        <v/>
      </c>
      <c r="C375" t="str">
        <f>IFERROR(VLOOKUP($A375,'Consolidate List'!$A$2:$P$1048576,16,FALSE),"")</f>
        <v/>
      </c>
      <c r="D375" t="str">
        <f>IFERROR(VLOOKUP($A375,'Consolidate List'!$A$2:$P$1048576,8,FALSE),"")</f>
        <v/>
      </c>
      <c r="F375" t="str">
        <f>IFERROR(VLOOKUP($A375,'Consolidate List'!$A$2:$P$1048576,12,FALSE),"")</f>
        <v/>
      </c>
      <c r="G375" t="str">
        <f>IFERROR(VLOOKUP($A375,'Consolidate List'!$A$2:$P$1048576,11,FALSE),"")</f>
        <v/>
      </c>
      <c r="H375" t="str">
        <f>IFERROR(VLOOKUP($A375,'Consolidate List'!$A$2:$P$1048576,9,FALSE),"")</f>
        <v/>
      </c>
      <c r="I375" t="str">
        <f>IFERROR(VLOOKUP($A375,'Consolidate List'!$A$2:$P$1048576,10,FALSE),"")</f>
        <v/>
      </c>
      <c r="J375" t="str">
        <f>IFERROR(_xlfn.CONCAT((VLOOKUP($A375,'Consolidate List'!$A$2:$P$1048576,5,FALSE)),", ",VLOOKUP($A375,'Consolidate List'!$A$2:$P$1048576,6,FALSE)),"")</f>
        <v/>
      </c>
      <c r="K375" t="str">
        <f>IFERROR(VLOOKUP($A375,'Consolidate List'!$A$2:$P$1048576,17,FALSE),"")</f>
        <v/>
      </c>
    </row>
    <row r="376" spans="1:11" x14ac:dyDescent="0.35">
      <c r="A376" t="str">
        <f>IFERROR(Tableau1[[#This Row],[ID Unique]],"")</f>
        <v/>
      </c>
      <c r="B376" t="str">
        <f>IFERROR(VLOOKUP($A376,'Consolidate List'!$A$2:$P$1048576,15,FALSE),"")</f>
        <v/>
      </c>
      <c r="C376" t="str">
        <f>IFERROR(VLOOKUP($A376,'Consolidate List'!$A$2:$P$1048576,16,FALSE),"")</f>
        <v/>
      </c>
      <c r="D376" t="str">
        <f>IFERROR(VLOOKUP($A376,'Consolidate List'!$A$2:$P$1048576,8,FALSE),"")</f>
        <v/>
      </c>
      <c r="F376" t="str">
        <f>IFERROR(VLOOKUP($A376,'Consolidate List'!$A$2:$P$1048576,12,FALSE),"")</f>
        <v/>
      </c>
      <c r="G376" t="str">
        <f>IFERROR(VLOOKUP($A376,'Consolidate List'!$A$2:$P$1048576,11,FALSE),"")</f>
        <v/>
      </c>
      <c r="H376" t="str">
        <f>IFERROR(VLOOKUP($A376,'Consolidate List'!$A$2:$P$1048576,9,FALSE),"")</f>
        <v/>
      </c>
      <c r="I376" t="str">
        <f>IFERROR(VLOOKUP($A376,'Consolidate List'!$A$2:$P$1048576,10,FALSE),"")</f>
        <v/>
      </c>
      <c r="J376" t="str">
        <f>IFERROR(_xlfn.CONCAT((VLOOKUP($A376,'Consolidate List'!$A$2:$P$1048576,5,FALSE)),", ",VLOOKUP($A376,'Consolidate List'!$A$2:$P$1048576,6,FALSE)),"")</f>
        <v/>
      </c>
      <c r="K376" t="str">
        <f>IFERROR(VLOOKUP($A376,'Consolidate List'!$A$2:$P$1048576,17,FALSE),"")</f>
        <v/>
      </c>
    </row>
    <row r="377" spans="1:11" x14ac:dyDescent="0.35">
      <c r="A377" t="str">
        <f>IFERROR(Tableau1[[#This Row],[ID Unique]],"")</f>
        <v/>
      </c>
      <c r="B377" t="str">
        <f>IFERROR(VLOOKUP($A377,'Consolidate List'!$A$2:$P$1048576,15,FALSE),"")</f>
        <v/>
      </c>
      <c r="C377" t="str">
        <f>IFERROR(VLOOKUP($A377,'Consolidate List'!$A$2:$P$1048576,16,FALSE),"")</f>
        <v/>
      </c>
      <c r="D377" t="str">
        <f>IFERROR(VLOOKUP($A377,'Consolidate List'!$A$2:$P$1048576,8,FALSE),"")</f>
        <v/>
      </c>
      <c r="F377" t="str">
        <f>IFERROR(VLOOKUP($A377,'Consolidate List'!$A$2:$P$1048576,12,FALSE),"")</f>
        <v/>
      </c>
      <c r="G377" t="str">
        <f>IFERROR(VLOOKUP($A377,'Consolidate List'!$A$2:$P$1048576,11,FALSE),"")</f>
        <v/>
      </c>
      <c r="H377" t="str">
        <f>IFERROR(VLOOKUP($A377,'Consolidate List'!$A$2:$P$1048576,9,FALSE),"")</f>
        <v/>
      </c>
      <c r="I377" t="str">
        <f>IFERROR(VLOOKUP($A377,'Consolidate List'!$A$2:$P$1048576,10,FALSE),"")</f>
        <v/>
      </c>
      <c r="J377" t="str">
        <f>IFERROR(_xlfn.CONCAT((VLOOKUP($A377,'Consolidate List'!$A$2:$P$1048576,5,FALSE)),", ",VLOOKUP($A377,'Consolidate List'!$A$2:$P$1048576,6,FALSE)),"")</f>
        <v/>
      </c>
      <c r="K377" t="str">
        <f>IFERROR(VLOOKUP($A377,'Consolidate List'!$A$2:$P$1048576,17,FALSE),"")</f>
        <v/>
      </c>
    </row>
    <row r="378" spans="1:11" x14ac:dyDescent="0.35">
      <c r="A378" t="str">
        <f>IFERROR(Tableau1[[#This Row],[ID Unique]],"")</f>
        <v/>
      </c>
      <c r="B378" t="str">
        <f>IFERROR(VLOOKUP($A378,'Consolidate List'!$A$2:$P$1048576,15,FALSE),"")</f>
        <v/>
      </c>
      <c r="C378" t="str">
        <f>IFERROR(VLOOKUP($A378,'Consolidate List'!$A$2:$P$1048576,16,FALSE),"")</f>
        <v/>
      </c>
      <c r="D378" t="str">
        <f>IFERROR(VLOOKUP($A378,'Consolidate List'!$A$2:$P$1048576,8,FALSE),"")</f>
        <v/>
      </c>
      <c r="F378" t="str">
        <f>IFERROR(VLOOKUP($A378,'Consolidate List'!$A$2:$P$1048576,12,FALSE),"")</f>
        <v/>
      </c>
      <c r="G378" t="str">
        <f>IFERROR(VLOOKUP($A378,'Consolidate List'!$A$2:$P$1048576,11,FALSE),"")</f>
        <v/>
      </c>
      <c r="H378" t="str">
        <f>IFERROR(VLOOKUP($A378,'Consolidate List'!$A$2:$P$1048576,9,FALSE),"")</f>
        <v/>
      </c>
      <c r="I378" t="str">
        <f>IFERROR(VLOOKUP($A378,'Consolidate List'!$A$2:$P$1048576,10,FALSE),"")</f>
        <v/>
      </c>
      <c r="J378" t="str">
        <f>IFERROR(_xlfn.CONCAT((VLOOKUP($A378,'Consolidate List'!$A$2:$P$1048576,5,FALSE)),", ",VLOOKUP($A378,'Consolidate List'!$A$2:$P$1048576,6,FALSE)),"")</f>
        <v/>
      </c>
      <c r="K378" t="str">
        <f>IFERROR(VLOOKUP($A378,'Consolidate List'!$A$2:$P$1048576,17,FALSE),"")</f>
        <v/>
      </c>
    </row>
    <row r="379" spans="1:11" x14ac:dyDescent="0.35">
      <c r="A379" t="str">
        <f>IFERROR(Tableau1[[#This Row],[ID Unique]],"")</f>
        <v/>
      </c>
      <c r="B379" t="str">
        <f>IFERROR(VLOOKUP($A379,'Consolidate List'!$A$2:$P$1048576,15,FALSE),"")</f>
        <v/>
      </c>
      <c r="C379" t="str">
        <f>IFERROR(VLOOKUP($A379,'Consolidate List'!$A$2:$P$1048576,16,FALSE),"")</f>
        <v/>
      </c>
      <c r="D379" t="str">
        <f>IFERROR(VLOOKUP($A379,'Consolidate List'!$A$2:$P$1048576,8,FALSE),"")</f>
        <v/>
      </c>
      <c r="F379" t="str">
        <f>IFERROR(VLOOKUP($A379,'Consolidate List'!$A$2:$P$1048576,12,FALSE),"")</f>
        <v/>
      </c>
      <c r="G379" t="str">
        <f>IFERROR(VLOOKUP($A379,'Consolidate List'!$A$2:$P$1048576,11,FALSE),"")</f>
        <v/>
      </c>
      <c r="H379" t="str">
        <f>IFERROR(VLOOKUP($A379,'Consolidate List'!$A$2:$P$1048576,9,FALSE),"")</f>
        <v/>
      </c>
      <c r="I379" t="str">
        <f>IFERROR(VLOOKUP($A379,'Consolidate List'!$A$2:$P$1048576,10,FALSE),"")</f>
        <v/>
      </c>
      <c r="J379" t="str">
        <f>IFERROR(_xlfn.CONCAT((VLOOKUP($A379,'Consolidate List'!$A$2:$P$1048576,5,FALSE)),", ",VLOOKUP($A379,'Consolidate List'!$A$2:$P$1048576,6,FALSE)),"")</f>
        <v/>
      </c>
      <c r="K379" t="str">
        <f>IFERROR(VLOOKUP($A379,'Consolidate List'!$A$2:$P$1048576,17,FALSE),"")</f>
        <v/>
      </c>
    </row>
    <row r="380" spans="1:11" x14ac:dyDescent="0.35">
      <c r="A380" t="str">
        <f>IFERROR(Tableau1[[#This Row],[ID Unique]],"")</f>
        <v/>
      </c>
      <c r="B380" t="str">
        <f>IFERROR(VLOOKUP($A380,'Consolidate List'!$A$2:$P$1048576,15,FALSE),"")</f>
        <v/>
      </c>
      <c r="C380" t="str">
        <f>IFERROR(VLOOKUP($A380,'Consolidate List'!$A$2:$P$1048576,16,FALSE),"")</f>
        <v/>
      </c>
      <c r="D380" t="str">
        <f>IFERROR(VLOOKUP($A380,'Consolidate List'!$A$2:$P$1048576,8,FALSE),"")</f>
        <v/>
      </c>
      <c r="F380" t="str">
        <f>IFERROR(VLOOKUP($A380,'Consolidate List'!$A$2:$P$1048576,12,FALSE),"")</f>
        <v/>
      </c>
      <c r="G380" t="str">
        <f>IFERROR(VLOOKUP($A380,'Consolidate List'!$A$2:$P$1048576,11,FALSE),"")</f>
        <v/>
      </c>
      <c r="H380" t="str">
        <f>IFERROR(VLOOKUP($A380,'Consolidate List'!$A$2:$P$1048576,9,FALSE),"")</f>
        <v/>
      </c>
      <c r="I380" t="str">
        <f>IFERROR(VLOOKUP($A380,'Consolidate List'!$A$2:$P$1048576,10,FALSE),"")</f>
        <v/>
      </c>
      <c r="J380" t="str">
        <f>IFERROR(_xlfn.CONCAT((VLOOKUP($A380,'Consolidate List'!$A$2:$P$1048576,5,FALSE)),", ",VLOOKUP($A380,'Consolidate List'!$A$2:$P$1048576,6,FALSE)),"")</f>
        <v/>
      </c>
      <c r="K380" t="str">
        <f>IFERROR(VLOOKUP($A380,'Consolidate List'!$A$2:$P$1048576,17,FALSE),"")</f>
        <v/>
      </c>
    </row>
    <row r="381" spans="1:11" x14ac:dyDescent="0.35">
      <c r="A381" t="str">
        <f>IFERROR(Tableau1[[#This Row],[ID Unique]],"")</f>
        <v/>
      </c>
      <c r="B381" t="str">
        <f>IFERROR(VLOOKUP($A381,'Consolidate List'!$A$2:$P$1048576,15,FALSE),"")</f>
        <v/>
      </c>
      <c r="C381" t="str">
        <f>IFERROR(VLOOKUP($A381,'Consolidate List'!$A$2:$P$1048576,16,FALSE),"")</f>
        <v/>
      </c>
      <c r="D381" t="str">
        <f>IFERROR(VLOOKUP($A381,'Consolidate List'!$A$2:$P$1048576,8,FALSE),"")</f>
        <v/>
      </c>
      <c r="F381" t="str">
        <f>IFERROR(VLOOKUP($A381,'Consolidate List'!$A$2:$P$1048576,12,FALSE),"")</f>
        <v/>
      </c>
      <c r="G381" t="str">
        <f>IFERROR(VLOOKUP($A381,'Consolidate List'!$A$2:$P$1048576,11,FALSE),"")</f>
        <v/>
      </c>
      <c r="H381" t="str">
        <f>IFERROR(VLOOKUP($A381,'Consolidate List'!$A$2:$P$1048576,9,FALSE),"")</f>
        <v/>
      </c>
      <c r="I381" t="str">
        <f>IFERROR(VLOOKUP($A381,'Consolidate List'!$A$2:$P$1048576,10,FALSE),"")</f>
        <v/>
      </c>
      <c r="J381" t="str">
        <f>IFERROR(_xlfn.CONCAT((VLOOKUP($A381,'Consolidate List'!$A$2:$P$1048576,5,FALSE)),", ",VLOOKUP($A381,'Consolidate List'!$A$2:$P$1048576,6,FALSE)),"")</f>
        <v/>
      </c>
      <c r="K381" t="str">
        <f>IFERROR(VLOOKUP($A381,'Consolidate List'!$A$2:$P$1048576,17,FALSE),"")</f>
        <v/>
      </c>
    </row>
    <row r="382" spans="1:11" x14ac:dyDescent="0.35">
      <c r="A382" t="str">
        <f>IFERROR(Tableau1[[#This Row],[ID Unique]],"")</f>
        <v/>
      </c>
      <c r="B382" t="str">
        <f>IFERROR(VLOOKUP($A382,'Consolidate List'!$A$2:$P$1048576,15,FALSE),"")</f>
        <v/>
      </c>
      <c r="C382" t="str">
        <f>IFERROR(VLOOKUP($A382,'Consolidate List'!$A$2:$P$1048576,16,FALSE),"")</f>
        <v/>
      </c>
      <c r="D382" t="str">
        <f>IFERROR(VLOOKUP($A382,'Consolidate List'!$A$2:$P$1048576,8,FALSE),"")</f>
        <v/>
      </c>
      <c r="F382" t="str">
        <f>IFERROR(VLOOKUP($A382,'Consolidate List'!$A$2:$P$1048576,12,FALSE),"")</f>
        <v/>
      </c>
      <c r="G382" t="str">
        <f>IFERROR(VLOOKUP($A382,'Consolidate List'!$A$2:$P$1048576,11,FALSE),"")</f>
        <v/>
      </c>
      <c r="H382" t="str">
        <f>IFERROR(VLOOKUP($A382,'Consolidate List'!$A$2:$P$1048576,9,FALSE),"")</f>
        <v/>
      </c>
      <c r="I382" t="str">
        <f>IFERROR(VLOOKUP($A382,'Consolidate List'!$A$2:$P$1048576,10,FALSE),"")</f>
        <v/>
      </c>
      <c r="J382" t="str">
        <f>IFERROR(_xlfn.CONCAT((VLOOKUP($A382,'Consolidate List'!$A$2:$P$1048576,5,FALSE)),", ",VLOOKUP($A382,'Consolidate List'!$A$2:$P$1048576,6,FALSE)),"")</f>
        <v/>
      </c>
      <c r="K382" t="str">
        <f>IFERROR(VLOOKUP($A382,'Consolidate List'!$A$2:$P$1048576,17,FALSE),"")</f>
        <v/>
      </c>
    </row>
    <row r="383" spans="1:11" x14ac:dyDescent="0.35">
      <c r="A383" t="str">
        <f>IFERROR(Tableau1[[#This Row],[ID Unique]],"")</f>
        <v/>
      </c>
      <c r="B383" t="str">
        <f>IFERROR(VLOOKUP($A383,'Consolidate List'!$A$2:$P$1048576,15,FALSE),"")</f>
        <v/>
      </c>
      <c r="C383" t="str">
        <f>IFERROR(VLOOKUP($A383,'Consolidate List'!$A$2:$P$1048576,16,FALSE),"")</f>
        <v/>
      </c>
      <c r="D383" t="str">
        <f>IFERROR(VLOOKUP($A383,'Consolidate List'!$A$2:$P$1048576,8,FALSE),"")</f>
        <v/>
      </c>
      <c r="F383" t="str">
        <f>IFERROR(VLOOKUP($A383,'Consolidate List'!$A$2:$P$1048576,12,FALSE),"")</f>
        <v/>
      </c>
      <c r="G383" t="str">
        <f>IFERROR(VLOOKUP($A383,'Consolidate List'!$A$2:$P$1048576,11,FALSE),"")</f>
        <v/>
      </c>
      <c r="H383" t="str">
        <f>IFERROR(VLOOKUP($A383,'Consolidate List'!$A$2:$P$1048576,9,FALSE),"")</f>
        <v/>
      </c>
      <c r="I383" t="str">
        <f>IFERROR(VLOOKUP($A383,'Consolidate List'!$A$2:$P$1048576,10,FALSE),"")</f>
        <v/>
      </c>
      <c r="J383" t="str">
        <f>IFERROR(_xlfn.CONCAT((VLOOKUP($A383,'Consolidate List'!$A$2:$P$1048576,5,FALSE)),", ",VLOOKUP($A383,'Consolidate List'!$A$2:$P$1048576,6,FALSE)),"")</f>
        <v/>
      </c>
      <c r="K383" t="str">
        <f>IFERROR(VLOOKUP($A383,'Consolidate List'!$A$2:$P$1048576,17,FALSE),"")</f>
        <v/>
      </c>
    </row>
    <row r="384" spans="1:11" x14ac:dyDescent="0.35">
      <c r="A384" t="str">
        <f>IFERROR(Tableau1[[#This Row],[ID Unique]],"")</f>
        <v/>
      </c>
      <c r="B384" t="str">
        <f>IFERROR(VLOOKUP($A384,'Consolidate List'!$A$2:$P$1048576,15,FALSE),"")</f>
        <v/>
      </c>
      <c r="C384" t="str">
        <f>IFERROR(VLOOKUP($A384,'Consolidate List'!$A$2:$P$1048576,16,FALSE),"")</f>
        <v/>
      </c>
      <c r="D384" t="str">
        <f>IFERROR(VLOOKUP($A384,'Consolidate List'!$A$2:$P$1048576,8,FALSE),"")</f>
        <v/>
      </c>
      <c r="F384" t="str">
        <f>IFERROR(VLOOKUP($A384,'Consolidate List'!$A$2:$P$1048576,12,FALSE),"")</f>
        <v/>
      </c>
      <c r="G384" t="str">
        <f>IFERROR(VLOOKUP($A384,'Consolidate List'!$A$2:$P$1048576,11,FALSE),"")</f>
        <v/>
      </c>
      <c r="H384" t="str">
        <f>IFERROR(VLOOKUP($A384,'Consolidate List'!$A$2:$P$1048576,9,FALSE),"")</f>
        <v/>
      </c>
      <c r="I384" t="str">
        <f>IFERROR(VLOOKUP($A384,'Consolidate List'!$A$2:$P$1048576,10,FALSE),"")</f>
        <v/>
      </c>
      <c r="J384" t="str">
        <f>IFERROR(_xlfn.CONCAT((VLOOKUP($A384,'Consolidate List'!$A$2:$P$1048576,5,FALSE)),", ",VLOOKUP($A384,'Consolidate List'!$A$2:$P$1048576,6,FALSE)),"")</f>
        <v/>
      </c>
      <c r="K384" t="str">
        <f>IFERROR(VLOOKUP($A384,'Consolidate List'!$A$2:$P$1048576,17,FALSE),"")</f>
        <v/>
      </c>
    </row>
    <row r="385" spans="1:11" x14ac:dyDescent="0.35">
      <c r="A385" t="str">
        <f>IFERROR(Tableau1[[#This Row],[ID Unique]],"")</f>
        <v/>
      </c>
      <c r="B385" t="str">
        <f>IFERROR(VLOOKUP($A385,'Consolidate List'!$A$2:$P$1048576,15,FALSE),"")</f>
        <v/>
      </c>
      <c r="C385" t="str">
        <f>IFERROR(VLOOKUP($A385,'Consolidate List'!$A$2:$P$1048576,16,FALSE),"")</f>
        <v/>
      </c>
      <c r="D385" t="str">
        <f>IFERROR(VLOOKUP($A385,'Consolidate List'!$A$2:$P$1048576,8,FALSE),"")</f>
        <v/>
      </c>
      <c r="F385" t="str">
        <f>IFERROR(VLOOKUP($A385,'Consolidate List'!$A$2:$P$1048576,12,FALSE),"")</f>
        <v/>
      </c>
      <c r="G385" t="str">
        <f>IFERROR(VLOOKUP($A385,'Consolidate List'!$A$2:$P$1048576,11,FALSE),"")</f>
        <v/>
      </c>
      <c r="H385" t="str">
        <f>IFERROR(VLOOKUP($A385,'Consolidate List'!$A$2:$P$1048576,9,FALSE),"")</f>
        <v/>
      </c>
      <c r="I385" t="str">
        <f>IFERROR(VLOOKUP($A385,'Consolidate List'!$A$2:$P$1048576,10,FALSE),"")</f>
        <v/>
      </c>
      <c r="J385" t="str">
        <f>IFERROR(_xlfn.CONCAT((VLOOKUP($A385,'Consolidate List'!$A$2:$P$1048576,5,FALSE)),", ",VLOOKUP($A385,'Consolidate List'!$A$2:$P$1048576,6,FALSE)),"")</f>
        <v/>
      </c>
      <c r="K385" t="str">
        <f>IFERROR(VLOOKUP($A385,'Consolidate List'!$A$2:$P$1048576,17,FALSE),"")</f>
        <v/>
      </c>
    </row>
    <row r="386" spans="1:11" x14ac:dyDescent="0.35">
      <c r="A386" t="str">
        <f>IFERROR(Tableau1[[#This Row],[ID Unique]],"")</f>
        <v/>
      </c>
      <c r="B386" t="str">
        <f>IFERROR(VLOOKUP($A386,'Consolidate List'!$A$2:$P$1048576,15,FALSE),"")</f>
        <v/>
      </c>
      <c r="C386" t="str">
        <f>IFERROR(VLOOKUP($A386,'Consolidate List'!$A$2:$P$1048576,16,FALSE),"")</f>
        <v/>
      </c>
      <c r="D386" t="str">
        <f>IFERROR(VLOOKUP($A386,'Consolidate List'!$A$2:$P$1048576,8,FALSE),"")</f>
        <v/>
      </c>
      <c r="F386" t="str">
        <f>IFERROR(VLOOKUP($A386,'Consolidate List'!$A$2:$P$1048576,12,FALSE),"")</f>
        <v/>
      </c>
      <c r="G386" t="str">
        <f>IFERROR(VLOOKUP($A386,'Consolidate List'!$A$2:$P$1048576,11,FALSE),"")</f>
        <v/>
      </c>
      <c r="H386" t="str">
        <f>IFERROR(VLOOKUP($A386,'Consolidate List'!$A$2:$P$1048576,9,FALSE),"")</f>
        <v/>
      </c>
      <c r="I386" t="str">
        <f>IFERROR(VLOOKUP($A386,'Consolidate List'!$A$2:$P$1048576,10,FALSE),"")</f>
        <v/>
      </c>
      <c r="J386" t="str">
        <f>IFERROR(_xlfn.CONCAT((VLOOKUP($A386,'Consolidate List'!$A$2:$P$1048576,5,FALSE)),", ",VLOOKUP($A386,'Consolidate List'!$A$2:$P$1048576,6,FALSE)),"")</f>
        <v/>
      </c>
      <c r="K386" t="str">
        <f>IFERROR(VLOOKUP($A386,'Consolidate List'!$A$2:$P$1048576,17,FALSE),"")</f>
        <v/>
      </c>
    </row>
    <row r="387" spans="1:11" x14ac:dyDescent="0.35">
      <c r="A387" t="str">
        <f>IFERROR(Tableau1[[#This Row],[ID Unique]],"")</f>
        <v/>
      </c>
      <c r="B387" t="str">
        <f>IFERROR(VLOOKUP($A387,'Consolidate List'!$A$2:$P$1048576,15,FALSE),"")</f>
        <v/>
      </c>
      <c r="C387" t="str">
        <f>IFERROR(VLOOKUP($A387,'Consolidate List'!$A$2:$P$1048576,16,FALSE),"")</f>
        <v/>
      </c>
      <c r="D387" t="str">
        <f>IFERROR(VLOOKUP($A387,'Consolidate List'!$A$2:$P$1048576,8,FALSE),"")</f>
        <v/>
      </c>
      <c r="F387" t="str">
        <f>IFERROR(VLOOKUP($A387,'Consolidate List'!$A$2:$P$1048576,12,FALSE),"")</f>
        <v/>
      </c>
      <c r="G387" t="str">
        <f>IFERROR(VLOOKUP($A387,'Consolidate List'!$A$2:$P$1048576,11,FALSE),"")</f>
        <v/>
      </c>
      <c r="H387" t="str">
        <f>IFERROR(VLOOKUP($A387,'Consolidate List'!$A$2:$P$1048576,9,FALSE),"")</f>
        <v/>
      </c>
      <c r="I387" t="str">
        <f>IFERROR(VLOOKUP($A387,'Consolidate List'!$A$2:$P$1048576,10,FALSE),"")</f>
        <v/>
      </c>
      <c r="J387" t="str">
        <f>IFERROR(_xlfn.CONCAT((VLOOKUP($A387,'Consolidate List'!$A$2:$P$1048576,5,FALSE)),", ",VLOOKUP($A387,'Consolidate List'!$A$2:$P$1048576,6,FALSE)),"")</f>
        <v/>
      </c>
      <c r="K387" t="str">
        <f>IFERROR(VLOOKUP($A387,'Consolidate List'!$A$2:$P$1048576,17,FALSE),"")</f>
        <v/>
      </c>
    </row>
    <row r="388" spans="1:11" x14ac:dyDescent="0.35">
      <c r="A388" t="str">
        <f>IFERROR(Tableau1[[#This Row],[ID Unique]],"")</f>
        <v/>
      </c>
      <c r="B388" t="str">
        <f>IFERROR(VLOOKUP($A388,'Consolidate List'!$A$2:$P$1048576,15,FALSE),"")</f>
        <v/>
      </c>
      <c r="C388" t="str">
        <f>IFERROR(VLOOKUP($A388,'Consolidate List'!$A$2:$P$1048576,16,FALSE),"")</f>
        <v/>
      </c>
      <c r="D388" t="str">
        <f>IFERROR(VLOOKUP($A388,'Consolidate List'!$A$2:$P$1048576,8,FALSE),"")</f>
        <v/>
      </c>
      <c r="F388" t="str">
        <f>IFERROR(VLOOKUP($A388,'Consolidate List'!$A$2:$P$1048576,12,FALSE),"")</f>
        <v/>
      </c>
      <c r="G388" t="str">
        <f>IFERROR(VLOOKUP($A388,'Consolidate List'!$A$2:$P$1048576,11,FALSE),"")</f>
        <v/>
      </c>
      <c r="H388" t="str">
        <f>IFERROR(VLOOKUP($A388,'Consolidate List'!$A$2:$P$1048576,9,FALSE),"")</f>
        <v/>
      </c>
      <c r="I388" t="str">
        <f>IFERROR(VLOOKUP($A388,'Consolidate List'!$A$2:$P$1048576,10,FALSE),"")</f>
        <v/>
      </c>
      <c r="J388" t="str">
        <f>IFERROR(_xlfn.CONCAT((VLOOKUP($A388,'Consolidate List'!$A$2:$P$1048576,5,FALSE)),", ",VLOOKUP($A388,'Consolidate List'!$A$2:$P$1048576,6,FALSE)),"")</f>
        <v/>
      </c>
      <c r="K388" t="str">
        <f>IFERROR(VLOOKUP($A388,'Consolidate List'!$A$2:$P$1048576,17,FALSE),"")</f>
        <v/>
      </c>
    </row>
    <row r="389" spans="1:11" x14ac:dyDescent="0.35">
      <c r="A389" t="str">
        <f>IFERROR(Tableau1[[#This Row],[ID Unique]],"")</f>
        <v/>
      </c>
      <c r="B389" t="str">
        <f>IFERROR(VLOOKUP($A389,'Consolidate List'!$A$2:$P$1048576,15,FALSE),"")</f>
        <v/>
      </c>
      <c r="C389" t="str">
        <f>IFERROR(VLOOKUP($A389,'Consolidate List'!$A$2:$P$1048576,16,FALSE),"")</f>
        <v/>
      </c>
      <c r="D389" t="str">
        <f>IFERROR(VLOOKUP($A389,'Consolidate List'!$A$2:$P$1048576,8,FALSE),"")</f>
        <v/>
      </c>
      <c r="F389" t="str">
        <f>IFERROR(VLOOKUP($A389,'Consolidate List'!$A$2:$P$1048576,12,FALSE),"")</f>
        <v/>
      </c>
      <c r="G389" t="str">
        <f>IFERROR(VLOOKUP($A389,'Consolidate List'!$A$2:$P$1048576,11,FALSE),"")</f>
        <v/>
      </c>
      <c r="H389" t="str">
        <f>IFERROR(VLOOKUP($A389,'Consolidate List'!$A$2:$P$1048576,9,FALSE),"")</f>
        <v/>
      </c>
      <c r="I389" t="str">
        <f>IFERROR(VLOOKUP($A389,'Consolidate List'!$A$2:$P$1048576,10,FALSE),"")</f>
        <v/>
      </c>
      <c r="J389" t="str">
        <f>IFERROR(_xlfn.CONCAT((VLOOKUP($A389,'Consolidate List'!$A$2:$P$1048576,5,FALSE)),", ",VLOOKUP($A389,'Consolidate List'!$A$2:$P$1048576,6,FALSE)),"")</f>
        <v/>
      </c>
      <c r="K389" t="str">
        <f>IFERROR(VLOOKUP($A389,'Consolidate List'!$A$2:$P$1048576,17,FALSE),"")</f>
        <v/>
      </c>
    </row>
    <row r="390" spans="1:11" x14ac:dyDescent="0.35">
      <c r="A390" t="str">
        <f>IFERROR(Tableau1[[#This Row],[ID Unique]],"")</f>
        <v/>
      </c>
      <c r="B390" t="str">
        <f>IFERROR(VLOOKUP($A390,'Consolidate List'!$A$2:$P$1048576,15,FALSE),"")</f>
        <v/>
      </c>
      <c r="C390" t="str">
        <f>IFERROR(VLOOKUP($A390,'Consolidate List'!$A$2:$P$1048576,16,FALSE),"")</f>
        <v/>
      </c>
      <c r="D390" t="str">
        <f>IFERROR(VLOOKUP($A390,'Consolidate List'!$A$2:$P$1048576,8,FALSE),"")</f>
        <v/>
      </c>
      <c r="F390" t="str">
        <f>IFERROR(VLOOKUP($A390,'Consolidate List'!$A$2:$P$1048576,12,FALSE),"")</f>
        <v/>
      </c>
      <c r="G390" t="str">
        <f>IFERROR(VLOOKUP($A390,'Consolidate List'!$A$2:$P$1048576,11,FALSE),"")</f>
        <v/>
      </c>
      <c r="H390" t="str">
        <f>IFERROR(VLOOKUP($A390,'Consolidate List'!$A$2:$P$1048576,9,FALSE),"")</f>
        <v/>
      </c>
      <c r="I390" t="str">
        <f>IFERROR(VLOOKUP($A390,'Consolidate List'!$A$2:$P$1048576,10,FALSE),"")</f>
        <v/>
      </c>
      <c r="J390" t="str">
        <f>IFERROR(_xlfn.CONCAT((VLOOKUP($A390,'Consolidate List'!$A$2:$P$1048576,5,FALSE)),", ",VLOOKUP($A390,'Consolidate List'!$A$2:$P$1048576,6,FALSE)),"")</f>
        <v/>
      </c>
      <c r="K390" t="str">
        <f>IFERROR(VLOOKUP($A390,'Consolidate List'!$A$2:$P$1048576,17,FALSE),"")</f>
        <v/>
      </c>
    </row>
    <row r="391" spans="1:11" x14ac:dyDescent="0.35">
      <c r="A391" t="str">
        <f>IFERROR(Tableau1[[#This Row],[ID Unique]],"")</f>
        <v/>
      </c>
      <c r="B391" t="str">
        <f>IFERROR(VLOOKUP($A391,'Consolidate List'!$A$2:$P$1048576,15,FALSE),"")</f>
        <v/>
      </c>
      <c r="C391" t="str">
        <f>IFERROR(VLOOKUP($A391,'Consolidate List'!$A$2:$P$1048576,16,FALSE),"")</f>
        <v/>
      </c>
      <c r="D391" t="str">
        <f>IFERROR(VLOOKUP($A391,'Consolidate List'!$A$2:$P$1048576,8,FALSE),"")</f>
        <v/>
      </c>
      <c r="F391" t="str">
        <f>IFERROR(VLOOKUP($A391,'Consolidate List'!$A$2:$P$1048576,12,FALSE),"")</f>
        <v/>
      </c>
      <c r="G391" t="str">
        <f>IFERROR(VLOOKUP($A391,'Consolidate List'!$A$2:$P$1048576,11,FALSE),"")</f>
        <v/>
      </c>
      <c r="H391" t="str">
        <f>IFERROR(VLOOKUP($A391,'Consolidate List'!$A$2:$P$1048576,9,FALSE),"")</f>
        <v/>
      </c>
      <c r="I391" t="str">
        <f>IFERROR(VLOOKUP($A391,'Consolidate List'!$A$2:$P$1048576,10,FALSE),"")</f>
        <v/>
      </c>
      <c r="J391" t="str">
        <f>IFERROR(_xlfn.CONCAT((VLOOKUP($A391,'Consolidate List'!$A$2:$P$1048576,5,FALSE)),", ",VLOOKUP($A391,'Consolidate List'!$A$2:$P$1048576,6,FALSE)),"")</f>
        <v/>
      </c>
      <c r="K391" t="str">
        <f>IFERROR(VLOOKUP($A391,'Consolidate List'!$A$2:$P$1048576,17,FALSE),"")</f>
        <v/>
      </c>
    </row>
    <row r="392" spans="1:11" x14ac:dyDescent="0.35">
      <c r="A392" t="str">
        <f>IFERROR(Tableau1[[#This Row],[ID Unique]],"")</f>
        <v/>
      </c>
      <c r="B392" t="str">
        <f>IFERROR(VLOOKUP($A392,'Consolidate List'!$A$2:$P$1048576,15,FALSE),"")</f>
        <v/>
      </c>
      <c r="C392" t="str">
        <f>IFERROR(VLOOKUP($A392,'Consolidate List'!$A$2:$P$1048576,16,FALSE),"")</f>
        <v/>
      </c>
      <c r="D392" t="str">
        <f>IFERROR(VLOOKUP($A392,'Consolidate List'!$A$2:$P$1048576,8,FALSE),"")</f>
        <v/>
      </c>
      <c r="F392" t="str">
        <f>IFERROR(VLOOKUP($A392,'Consolidate List'!$A$2:$P$1048576,12,FALSE),"")</f>
        <v/>
      </c>
      <c r="G392" t="str">
        <f>IFERROR(VLOOKUP($A392,'Consolidate List'!$A$2:$P$1048576,11,FALSE),"")</f>
        <v/>
      </c>
      <c r="H392" t="str">
        <f>IFERROR(VLOOKUP($A392,'Consolidate List'!$A$2:$P$1048576,9,FALSE),"")</f>
        <v/>
      </c>
      <c r="I392" t="str">
        <f>IFERROR(VLOOKUP($A392,'Consolidate List'!$A$2:$P$1048576,10,FALSE),"")</f>
        <v/>
      </c>
      <c r="J392" t="str">
        <f>IFERROR(_xlfn.CONCAT((VLOOKUP($A392,'Consolidate List'!$A$2:$P$1048576,5,FALSE)),", ",VLOOKUP($A392,'Consolidate List'!$A$2:$P$1048576,6,FALSE)),"")</f>
        <v/>
      </c>
      <c r="K392" t="str">
        <f>IFERROR(VLOOKUP($A392,'Consolidate List'!$A$2:$P$1048576,17,FALSE),"")</f>
        <v/>
      </c>
    </row>
    <row r="393" spans="1:11" x14ac:dyDescent="0.35">
      <c r="A393" t="str">
        <f>IFERROR(Tableau1[[#This Row],[ID Unique]],"")</f>
        <v/>
      </c>
      <c r="B393" t="str">
        <f>IFERROR(VLOOKUP($A393,'Consolidate List'!$A$2:$P$1048576,15,FALSE),"")</f>
        <v/>
      </c>
      <c r="C393" t="str">
        <f>IFERROR(VLOOKUP($A393,'Consolidate List'!$A$2:$P$1048576,16,FALSE),"")</f>
        <v/>
      </c>
      <c r="D393" t="str">
        <f>IFERROR(VLOOKUP($A393,'Consolidate List'!$A$2:$P$1048576,8,FALSE),"")</f>
        <v/>
      </c>
      <c r="F393" t="str">
        <f>IFERROR(VLOOKUP($A393,'Consolidate List'!$A$2:$P$1048576,12,FALSE),"")</f>
        <v/>
      </c>
      <c r="G393" t="str">
        <f>IFERROR(VLOOKUP($A393,'Consolidate List'!$A$2:$P$1048576,11,FALSE),"")</f>
        <v/>
      </c>
      <c r="H393" t="str">
        <f>IFERROR(VLOOKUP($A393,'Consolidate List'!$A$2:$P$1048576,9,FALSE),"")</f>
        <v/>
      </c>
      <c r="I393" t="str">
        <f>IFERROR(VLOOKUP($A393,'Consolidate List'!$A$2:$P$1048576,10,FALSE),"")</f>
        <v/>
      </c>
      <c r="J393" t="str">
        <f>IFERROR(_xlfn.CONCAT((VLOOKUP($A393,'Consolidate List'!$A$2:$P$1048576,5,FALSE)),", ",VLOOKUP($A393,'Consolidate List'!$A$2:$P$1048576,6,FALSE)),"")</f>
        <v/>
      </c>
      <c r="K393" t="str">
        <f>IFERROR(VLOOKUP($A393,'Consolidate List'!$A$2:$P$1048576,17,FALSE),"")</f>
        <v/>
      </c>
    </row>
    <row r="394" spans="1:11" x14ac:dyDescent="0.35">
      <c r="A394" t="str">
        <f>IFERROR(Tableau1[[#This Row],[ID Unique]],"")</f>
        <v/>
      </c>
      <c r="B394" t="str">
        <f>IFERROR(VLOOKUP($A394,'Consolidate List'!$A$2:$P$1048576,15,FALSE),"")</f>
        <v/>
      </c>
      <c r="C394" t="str">
        <f>IFERROR(VLOOKUP($A394,'Consolidate List'!$A$2:$P$1048576,16,FALSE),"")</f>
        <v/>
      </c>
      <c r="D394" t="str">
        <f>IFERROR(VLOOKUP($A394,'Consolidate List'!$A$2:$P$1048576,8,FALSE),"")</f>
        <v/>
      </c>
      <c r="F394" t="str">
        <f>IFERROR(VLOOKUP($A394,'Consolidate List'!$A$2:$P$1048576,12,FALSE),"")</f>
        <v/>
      </c>
      <c r="G394" t="str">
        <f>IFERROR(VLOOKUP($A394,'Consolidate List'!$A$2:$P$1048576,11,FALSE),"")</f>
        <v/>
      </c>
      <c r="H394" t="str">
        <f>IFERROR(VLOOKUP($A394,'Consolidate List'!$A$2:$P$1048576,9,FALSE),"")</f>
        <v/>
      </c>
      <c r="I394" t="str">
        <f>IFERROR(VLOOKUP($A394,'Consolidate List'!$A$2:$P$1048576,10,FALSE),"")</f>
        <v/>
      </c>
      <c r="J394" t="str">
        <f>IFERROR(_xlfn.CONCAT((VLOOKUP($A394,'Consolidate List'!$A$2:$P$1048576,5,FALSE)),", ",VLOOKUP($A394,'Consolidate List'!$A$2:$P$1048576,6,FALSE)),"")</f>
        <v/>
      </c>
      <c r="K394" t="str">
        <f>IFERROR(VLOOKUP($A394,'Consolidate List'!$A$2:$P$1048576,17,FALSE),"")</f>
        <v/>
      </c>
    </row>
    <row r="395" spans="1:11" x14ac:dyDescent="0.35">
      <c r="A395" t="str">
        <f>IFERROR(Tableau1[[#This Row],[ID Unique]],"")</f>
        <v/>
      </c>
      <c r="B395" t="str">
        <f>IFERROR(VLOOKUP($A395,'Consolidate List'!$A$2:$P$1048576,15,FALSE),"")</f>
        <v/>
      </c>
      <c r="C395" t="str">
        <f>IFERROR(VLOOKUP($A395,'Consolidate List'!$A$2:$P$1048576,16,FALSE),"")</f>
        <v/>
      </c>
      <c r="D395" t="str">
        <f>IFERROR(VLOOKUP($A395,'Consolidate List'!$A$2:$P$1048576,8,FALSE),"")</f>
        <v/>
      </c>
      <c r="F395" t="str">
        <f>IFERROR(VLOOKUP($A395,'Consolidate List'!$A$2:$P$1048576,12,FALSE),"")</f>
        <v/>
      </c>
      <c r="G395" t="str">
        <f>IFERROR(VLOOKUP($A395,'Consolidate List'!$A$2:$P$1048576,11,FALSE),"")</f>
        <v/>
      </c>
      <c r="H395" t="str">
        <f>IFERROR(VLOOKUP($A395,'Consolidate List'!$A$2:$P$1048576,9,FALSE),"")</f>
        <v/>
      </c>
      <c r="I395" t="str">
        <f>IFERROR(VLOOKUP($A395,'Consolidate List'!$A$2:$P$1048576,10,FALSE),"")</f>
        <v/>
      </c>
      <c r="J395" t="str">
        <f>IFERROR(_xlfn.CONCAT((VLOOKUP($A395,'Consolidate List'!$A$2:$P$1048576,5,FALSE)),", ",VLOOKUP($A395,'Consolidate List'!$A$2:$P$1048576,6,FALSE)),"")</f>
        <v/>
      </c>
      <c r="K395" t="str">
        <f>IFERROR(VLOOKUP($A395,'Consolidate List'!$A$2:$P$1048576,17,FALSE),"")</f>
        <v/>
      </c>
    </row>
    <row r="396" spans="1:11" x14ac:dyDescent="0.35">
      <c r="A396" t="str">
        <f>IFERROR(Tableau1[[#This Row],[ID Unique]],"")</f>
        <v/>
      </c>
      <c r="B396" t="str">
        <f>IFERROR(VLOOKUP($A396,'Consolidate List'!$A$2:$P$1048576,15,FALSE),"")</f>
        <v/>
      </c>
      <c r="C396" t="str">
        <f>IFERROR(VLOOKUP($A396,'Consolidate List'!$A$2:$P$1048576,16,FALSE),"")</f>
        <v/>
      </c>
      <c r="D396" t="str">
        <f>IFERROR(VLOOKUP($A396,'Consolidate List'!$A$2:$P$1048576,8,FALSE),"")</f>
        <v/>
      </c>
      <c r="F396" t="str">
        <f>IFERROR(VLOOKUP($A396,'Consolidate List'!$A$2:$P$1048576,12,FALSE),"")</f>
        <v/>
      </c>
      <c r="G396" t="str">
        <f>IFERROR(VLOOKUP($A396,'Consolidate List'!$A$2:$P$1048576,11,FALSE),"")</f>
        <v/>
      </c>
      <c r="H396" t="str">
        <f>IFERROR(VLOOKUP($A396,'Consolidate List'!$A$2:$P$1048576,9,FALSE),"")</f>
        <v/>
      </c>
      <c r="I396" t="str">
        <f>IFERROR(VLOOKUP($A396,'Consolidate List'!$A$2:$P$1048576,10,FALSE),"")</f>
        <v/>
      </c>
      <c r="J396" t="str">
        <f>IFERROR(_xlfn.CONCAT((VLOOKUP($A396,'Consolidate List'!$A$2:$P$1048576,5,FALSE)),", ",VLOOKUP($A396,'Consolidate List'!$A$2:$P$1048576,6,FALSE)),"")</f>
        <v/>
      </c>
      <c r="K396" t="str">
        <f>IFERROR(VLOOKUP($A396,'Consolidate List'!$A$2:$P$1048576,17,FALSE),"")</f>
        <v/>
      </c>
    </row>
    <row r="397" spans="1:11" x14ac:dyDescent="0.35">
      <c r="A397" t="str">
        <f>IFERROR(Tableau1[[#This Row],[ID Unique]],"")</f>
        <v/>
      </c>
      <c r="B397" t="str">
        <f>IFERROR(VLOOKUP($A397,'Consolidate List'!$A$2:$P$1048576,15,FALSE),"")</f>
        <v/>
      </c>
      <c r="C397" t="str">
        <f>IFERROR(VLOOKUP($A397,'Consolidate List'!$A$2:$P$1048576,16,FALSE),"")</f>
        <v/>
      </c>
      <c r="D397" t="str">
        <f>IFERROR(VLOOKUP($A397,'Consolidate List'!$A$2:$P$1048576,8,FALSE),"")</f>
        <v/>
      </c>
      <c r="F397" t="str">
        <f>IFERROR(VLOOKUP($A397,'Consolidate List'!$A$2:$P$1048576,12,FALSE),"")</f>
        <v/>
      </c>
      <c r="G397" t="str">
        <f>IFERROR(VLOOKUP($A397,'Consolidate List'!$A$2:$P$1048576,11,FALSE),"")</f>
        <v/>
      </c>
      <c r="H397" t="str">
        <f>IFERROR(VLOOKUP($A397,'Consolidate List'!$A$2:$P$1048576,9,FALSE),"")</f>
        <v/>
      </c>
      <c r="I397" t="str">
        <f>IFERROR(VLOOKUP($A397,'Consolidate List'!$A$2:$P$1048576,10,FALSE),"")</f>
        <v/>
      </c>
      <c r="J397" t="str">
        <f>IFERROR(_xlfn.CONCAT((VLOOKUP($A397,'Consolidate List'!$A$2:$P$1048576,5,FALSE)),", ",VLOOKUP($A397,'Consolidate List'!$A$2:$P$1048576,6,FALSE)),"")</f>
        <v/>
      </c>
      <c r="K397" t="str">
        <f>IFERROR(VLOOKUP($A397,'Consolidate List'!$A$2:$P$1048576,17,FALSE),"")</f>
        <v/>
      </c>
    </row>
    <row r="398" spans="1:11" x14ac:dyDescent="0.35">
      <c r="A398" t="str">
        <f>IFERROR(Tableau1[[#This Row],[ID Unique]],"")</f>
        <v/>
      </c>
      <c r="B398" t="str">
        <f>IFERROR(VLOOKUP($A398,'Consolidate List'!$A$2:$P$1048576,15,FALSE),"")</f>
        <v/>
      </c>
      <c r="C398" t="str">
        <f>IFERROR(VLOOKUP($A398,'Consolidate List'!$A$2:$P$1048576,16,FALSE),"")</f>
        <v/>
      </c>
      <c r="D398" t="str">
        <f>IFERROR(VLOOKUP($A398,'Consolidate List'!$A$2:$P$1048576,8,FALSE),"")</f>
        <v/>
      </c>
      <c r="F398" t="str">
        <f>IFERROR(VLOOKUP($A398,'Consolidate List'!$A$2:$P$1048576,12,FALSE),"")</f>
        <v/>
      </c>
      <c r="G398" t="str">
        <f>IFERROR(VLOOKUP($A398,'Consolidate List'!$A$2:$P$1048576,11,FALSE),"")</f>
        <v/>
      </c>
      <c r="H398" t="str">
        <f>IFERROR(VLOOKUP($A398,'Consolidate List'!$A$2:$P$1048576,9,FALSE),"")</f>
        <v/>
      </c>
      <c r="I398" t="str">
        <f>IFERROR(VLOOKUP($A398,'Consolidate List'!$A$2:$P$1048576,10,FALSE),"")</f>
        <v/>
      </c>
      <c r="J398" t="str">
        <f>IFERROR(_xlfn.CONCAT((VLOOKUP($A398,'Consolidate List'!$A$2:$P$1048576,5,FALSE)),", ",VLOOKUP($A398,'Consolidate List'!$A$2:$P$1048576,6,FALSE)),"")</f>
        <v/>
      </c>
      <c r="K398" t="str">
        <f>IFERROR(VLOOKUP($A398,'Consolidate List'!$A$2:$P$1048576,17,FALSE),"")</f>
        <v/>
      </c>
    </row>
    <row r="399" spans="1:11" x14ac:dyDescent="0.35">
      <c r="A399" t="str">
        <f>IFERROR(Tableau1[[#This Row],[ID Unique]],"")</f>
        <v/>
      </c>
      <c r="B399" t="str">
        <f>IFERROR(VLOOKUP($A399,'Consolidate List'!$A$2:$P$1048576,15,FALSE),"")</f>
        <v/>
      </c>
      <c r="C399" t="str">
        <f>IFERROR(VLOOKUP($A399,'Consolidate List'!$A$2:$P$1048576,16,FALSE),"")</f>
        <v/>
      </c>
      <c r="D399" t="str">
        <f>IFERROR(VLOOKUP($A399,'Consolidate List'!$A$2:$P$1048576,8,FALSE),"")</f>
        <v/>
      </c>
      <c r="F399" t="str">
        <f>IFERROR(VLOOKUP($A399,'Consolidate List'!$A$2:$P$1048576,12,FALSE),"")</f>
        <v/>
      </c>
      <c r="G399" t="str">
        <f>IFERROR(VLOOKUP($A399,'Consolidate List'!$A$2:$P$1048576,11,FALSE),"")</f>
        <v/>
      </c>
      <c r="H399" t="str">
        <f>IFERROR(VLOOKUP($A399,'Consolidate List'!$A$2:$P$1048576,9,FALSE),"")</f>
        <v/>
      </c>
      <c r="I399" t="str">
        <f>IFERROR(VLOOKUP($A399,'Consolidate List'!$A$2:$P$1048576,10,FALSE),"")</f>
        <v/>
      </c>
      <c r="J399" t="str">
        <f>IFERROR(_xlfn.CONCAT((VLOOKUP($A399,'Consolidate List'!$A$2:$P$1048576,5,FALSE)),", ",VLOOKUP($A399,'Consolidate List'!$A$2:$P$1048576,6,FALSE)),"")</f>
        <v/>
      </c>
      <c r="K399" t="str">
        <f>IFERROR(VLOOKUP($A399,'Consolidate List'!$A$2:$P$1048576,17,FALSE),"")</f>
        <v/>
      </c>
    </row>
    <row r="400" spans="1:11" x14ac:dyDescent="0.35">
      <c r="A400" t="str">
        <f>IFERROR(Tableau1[[#This Row],[ID Unique]],"")</f>
        <v/>
      </c>
      <c r="B400" t="str">
        <f>IFERROR(VLOOKUP($A400,'Consolidate List'!$A$2:$P$1048576,15,FALSE),"")</f>
        <v/>
      </c>
      <c r="C400" t="str">
        <f>IFERROR(VLOOKUP($A400,'Consolidate List'!$A$2:$P$1048576,16,FALSE),"")</f>
        <v/>
      </c>
      <c r="D400" t="str">
        <f>IFERROR(VLOOKUP($A400,'Consolidate List'!$A$2:$P$1048576,8,FALSE),"")</f>
        <v/>
      </c>
      <c r="F400" t="str">
        <f>IFERROR(VLOOKUP($A400,'Consolidate List'!$A$2:$P$1048576,12,FALSE),"")</f>
        <v/>
      </c>
      <c r="G400" t="str">
        <f>IFERROR(VLOOKUP($A400,'Consolidate List'!$A$2:$P$1048576,11,FALSE),"")</f>
        <v/>
      </c>
      <c r="H400" t="str">
        <f>IFERROR(VLOOKUP($A400,'Consolidate List'!$A$2:$P$1048576,9,FALSE),"")</f>
        <v/>
      </c>
      <c r="I400" t="str">
        <f>IFERROR(VLOOKUP($A400,'Consolidate List'!$A$2:$P$1048576,10,FALSE),"")</f>
        <v/>
      </c>
      <c r="J400" t="str">
        <f>IFERROR(_xlfn.CONCAT((VLOOKUP($A400,'Consolidate List'!$A$2:$P$1048576,5,FALSE)),", ",VLOOKUP($A400,'Consolidate List'!$A$2:$P$1048576,6,FALSE)),"")</f>
        <v/>
      </c>
      <c r="K400" t="str">
        <f>IFERROR(VLOOKUP($A400,'Consolidate List'!$A$2:$P$1048576,17,FALSE),"")</f>
        <v/>
      </c>
    </row>
    <row r="401" spans="1:11" x14ac:dyDescent="0.35">
      <c r="A401" t="str">
        <f>IFERROR(Tableau1[[#This Row],[ID Unique]],"")</f>
        <v/>
      </c>
      <c r="B401" t="str">
        <f>IFERROR(VLOOKUP($A401,'Consolidate List'!$A$2:$P$1048576,15,FALSE),"")</f>
        <v/>
      </c>
      <c r="C401" t="str">
        <f>IFERROR(VLOOKUP($A401,'Consolidate List'!$A$2:$P$1048576,16,FALSE),"")</f>
        <v/>
      </c>
      <c r="D401" t="str">
        <f>IFERROR(VLOOKUP($A401,'Consolidate List'!$A$2:$P$1048576,8,FALSE),"")</f>
        <v/>
      </c>
      <c r="F401" t="str">
        <f>IFERROR(VLOOKUP($A401,'Consolidate List'!$A$2:$P$1048576,12,FALSE),"")</f>
        <v/>
      </c>
      <c r="G401" t="str">
        <f>IFERROR(VLOOKUP($A401,'Consolidate List'!$A$2:$P$1048576,11,FALSE),"")</f>
        <v/>
      </c>
      <c r="H401" t="str">
        <f>IFERROR(VLOOKUP($A401,'Consolidate List'!$A$2:$P$1048576,9,FALSE),"")</f>
        <v/>
      </c>
      <c r="I401" t="str">
        <f>IFERROR(VLOOKUP($A401,'Consolidate List'!$A$2:$P$1048576,10,FALSE),"")</f>
        <v/>
      </c>
      <c r="J401" t="str">
        <f>IFERROR(_xlfn.CONCAT((VLOOKUP($A401,'Consolidate List'!$A$2:$P$1048576,5,FALSE)),", ",VLOOKUP($A401,'Consolidate List'!$A$2:$P$1048576,6,FALSE)),"")</f>
        <v/>
      </c>
      <c r="K401" t="str">
        <f>IFERROR(VLOOKUP($A401,'Consolidate List'!$A$2:$P$1048576,17,FALSE),"")</f>
        <v/>
      </c>
    </row>
    <row r="402" spans="1:11" x14ac:dyDescent="0.35">
      <c r="A402" t="str">
        <f>IFERROR(Tableau1[[#This Row],[ID Unique]],"")</f>
        <v/>
      </c>
      <c r="B402" t="str">
        <f>IFERROR(VLOOKUP($A402,'Consolidate List'!$A$2:$P$1048576,15,FALSE),"")</f>
        <v/>
      </c>
      <c r="C402" t="str">
        <f>IFERROR(VLOOKUP($A402,'Consolidate List'!$A$2:$P$1048576,16,FALSE),"")</f>
        <v/>
      </c>
      <c r="D402" t="str">
        <f>IFERROR(VLOOKUP($A402,'Consolidate List'!$A$2:$P$1048576,8,FALSE),"")</f>
        <v/>
      </c>
      <c r="F402" t="str">
        <f>IFERROR(VLOOKUP($A402,'Consolidate List'!$A$2:$P$1048576,12,FALSE),"")</f>
        <v/>
      </c>
      <c r="G402" t="str">
        <f>IFERROR(VLOOKUP($A402,'Consolidate List'!$A$2:$P$1048576,11,FALSE),"")</f>
        <v/>
      </c>
      <c r="H402" t="str">
        <f>IFERROR(VLOOKUP($A402,'Consolidate List'!$A$2:$P$1048576,9,FALSE),"")</f>
        <v/>
      </c>
      <c r="I402" t="str">
        <f>IFERROR(VLOOKUP($A402,'Consolidate List'!$A$2:$P$1048576,10,FALSE),"")</f>
        <v/>
      </c>
      <c r="J402" t="str">
        <f>IFERROR(_xlfn.CONCAT((VLOOKUP($A402,'Consolidate List'!$A$2:$P$1048576,5,FALSE)),", ",VLOOKUP($A402,'Consolidate List'!$A$2:$P$1048576,6,FALSE)),"")</f>
        <v/>
      </c>
      <c r="K402" t="str">
        <f>IFERROR(VLOOKUP($A402,'Consolidate List'!$A$2:$P$1048576,17,FALSE),"")</f>
        <v/>
      </c>
    </row>
    <row r="403" spans="1:11" x14ac:dyDescent="0.35">
      <c r="A403" t="str">
        <f>IFERROR(Tableau1[[#This Row],[ID Unique]],"")</f>
        <v/>
      </c>
      <c r="B403" t="str">
        <f>IFERROR(VLOOKUP($A403,'Consolidate List'!$A$2:$P$1048576,15,FALSE),"")</f>
        <v/>
      </c>
      <c r="C403" t="str">
        <f>IFERROR(VLOOKUP($A403,'Consolidate List'!$A$2:$P$1048576,16,FALSE),"")</f>
        <v/>
      </c>
      <c r="D403" t="str">
        <f>IFERROR(VLOOKUP($A403,'Consolidate List'!$A$2:$P$1048576,8,FALSE),"")</f>
        <v/>
      </c>
      <c r="F403" t="str">
        <f>IFERROR(VLOOKUP($A403,'Consolidate List'!$A$2:$P$1048576,12,FALSE),"")</f>
        <v/>
      </c>
      <c r="G403" t="str">
        <f>IFERROR(VLOOKUP($A403,'Consolidate List'!$A$2:$P$1048576,11,FALSE),"")</f>
        <v/>
      </c>
      <c r="H403" t="str">
        <f>IFERROR(VLOOKUP($A403,'Consolidate List'!$A$2:$P$1048576,9,FALSE),"")</f>
        <v/>
      </c>
      <c r="I403" t="str">
        <f>IFERROR(VLOOKUP($A403,'Consolidate List'!$A$2:$P$1048576,10,FALSE),"")</f>
        <v/>
      </c>
      <c r="J403" t="str">
        <f>IFERROR(_xlfn.CONCAT((VLOOKUP($A403,'Consolidate List'!$A$2:$P$1048576,5,FALSE)),", ",VLOOKUP($A403,'Consolidate List'!$A$2:$P$1048576,6,FALSE)),"")</f>
        <v/>
      </c>
      <c r="K403" t="str">
        <f>IFERROR(VLOOKUP($A403,'Consolidate List'!$A$2:$P$1048576,17,FALSE),"")</f>
        <v/>
      </c>
    </row>
    <row r="404" spans="1:11" x14ac:dyDescent="0.35">
      <c r="A404" t="str">
        <f>IFERROR(Tableau1[[#This Row],[ID Unique]],"")</f>
        <v/>
      </c>
      <c r="B404" t="str">
        <f>IFERROR(VLOOKUP($A404,'Consolidate List'!$A$2:$P$1048576,15,FALSE),"")</f>
        <v/>
      </c>
      <c r="C404" t="str">
        <f>IFERROR(VLOOKUP($A404,'Consolidate List'!$A$2:$P$1048576,16,FALSE),"")</f>
        <v/>
      </c>
      <c r="D404" t="str">
        <f>IFERROR(VLOOKUP($A404,'Consolidate List'!$A$2:$P$1048576,8,FALSE),"")</f>
        <v/>
      </c>
      <c r="F404" t="str">
        <f>IFERROR(VLOOKUP($A404,'Consolidate List'!$A$2:$P$1048576,12,FALSE),"")</f>
        <v/>
      </c>
      <c r="G404" t="str">
        <f>IFERROR(VLOOKUP($A404,'Consolidate List'!$A$2:$P$1048576,11,FALSE),"")</f>
        <v/>
      </c>
      <c r="H404" t="str">
        <f>IFERROR(VLOOKUP($A404,'Consolidate List'!$A$2:$P$1048576,9,FALSE),"")</f>
        <v/>
      </c>
      <c r="I404" t="str">
        <f>IFERROR(VLOOKUP($A404,'Consolidate List'!$A$2:$P$1048576,10,FALSE),"")</f>
        <v/>
      </c>
      <c r="J404" t="str">
        <f>IFERROR(_xlfn.CONCAT((VLOOKUP($A404,'Consolidate List'!$A$2:$P$1048576,5,FALSE)),", ",VLOOKUP($A404,'Consolidate List'!$A$2:$P$1048576,6,FALSE)),"")</f>
        <v/>
      </c>
      <c r="K404" t="str">
        <f>IFERROR(VLOOKUP($A404,'Consolidate List'!$A$2:$P$1048576,17,FALSE),"")</f>
        <v/>
      </c>
    </row>
    <row r="405" spans="1:11" x14ac:dyDescent="0.35">
      <c r="A405" t="str">
        <f>IFERROR(Tableau1[[#This Row],[ID Unique]],"")</f>
        <v/>
      </c>
      <c r="B405" t="str">
        <f>IFERROR(VLOOKUP($A405,'Consolidate List'!$A$2:$P$1048576,15,FALSE),"")</f>
        <v/>
      </c>
      <c r="C405" t="str">
        <f>IFERROR(VLOOKUP($A405,'Consolidate List'!$A$2:$P$1048576,16,FALSE),"")</f>
        <v/>
      </c>
      <c r="D405" t="str">
        <f>IFERROR(VLOOKUP($A405,'Consolidate List'!$A$2:$P$1048576,8,FALSE),"")</f>
        <v/>
      </c>
      <c r="F405" t="str">
        <f>IFERROR(VLOOKUP($A405,'Consolidate List'!$A$2:$P$1048576,12,FALSE),"")</f>
        <v/>
      </c>
      <c r="G405" t="str">
        <f>IFERROR(VLOOKUP($A405,'Consolidate List'!$A$2:$P$1048576,11,FALSE),"")</f>
        <v/>
      </c>
      <c r="H405" t="str">
        <f>IFERROR(VLOOKUP($A405,'Consolidate List'!$A$2:$P$1048576,9,FALSE),"")</f>
        <v/>
      </c>
      <c r="I405" t="str">
        <f>IFERROR(VLOOKUP($A405,'Consolidate List'!$A$2:$P$1048576,10,FALSE),"")</f>
        <v/>
      </c>
      <c r="J405" t="str">
        <f>IFERROR(_xlfn.CONCAT((VLOOKUP($A405,'Consolidate List'!$A$2:$P$1048576,5,FALSE)),", ",VLOOKUP($A405,'Consolidate List'!$A$2:$P$1048576,6,FALSE)),"")</f>
        <v/>
      </c>
      <c r="K405" t="str">
        <f>IFERROR(VLOOKUP($A405,'Consolidate List'!$A$2:$P$1048576,17,FALSE),"")</f>
        <v/>
      </c>
    </row>
    <row r="406" spans="1:11" x14ac:dyDescent="0.35">
      <c r="A406" t="str">
        <f>IFERROR(Tableau1[[#This Row],[ID Unique]],"")</f>
        <v/>
      </c>
      <c r="B406" t="str">
        <f>IFERROR(VLOOKUP($A406,'Consolidate List'!$A$2:$P$1048576,15,FALSE),"")</f>
        <v/>
      </c>
      <c r="C406" t="str">
        <f>IFERROR(VLOOKUP($A406,'Consolidate List'!$A$2:$P$1048576,16,FALSE),"")</f>
        <v/>
      </c>
      <c r="D406" t="str">
        <f>IFERROR(VLOOKUP($A406,'Consolidate List'!$A$2:$P$1048576,8,FALSE),"")</f>
        <v/>
      </c>
      <c r="F406" t="str">
        <f>IFERROR(VLOOKUP($A406,'Consolidate List'!$A$2:$P$1048576,12,FALSE),"")</f>
        <v/>
      </c>
      <c r="G406" t="str">
        <f>IFERROR(VLOOKUP($A406,'Consolidate List'!$A$2:$P$1048576,11,FALSE),"")</f>
        <v/>
      </c>
      <c r="H406" t="str">
        <f>IFERROR(VLOOKUP($A406,'Consolidate List'!$A$2:$P$1048576,9,FALSE),"")</f>
        <v/>
      </c>
      <c r="I406" t="str">
        <f>IFERROR(VLOOKUP($A406,'Consolidate List'!$A$2:$P$1048576,10,FALSE),"")</f>
        <v/>
      </c>
      <c r="J406" t="str">
        <f>IFERROR(_xlfn.CONCAT((VLOOKUP($A406,'Consolidate List'!$A$2:$P$1048576,5,FALSE)),", ",VLOOKUP($A406,'Consolidate List'!$A$2:$P$1048576,6,FALSE)),"")</f>
        <v/>
      </c>
      <c r="K406" t="str">
        <f>IFERROR(VLOOKUP($A406,'Consolidate List'!$A$2:$P$1048576,17,FALSE),"")</f>
        <v/>
      </c>
    </row>
    <row r="407" spans="1:11" x14ac:dyDescent="0.35">
      <c r="A407" t="str">
        <f>IFERROR(Tableau1[[#This Row],[ID Unique]],"")</f>
        <v/>
      </c>
      <c r="B407" t="str">
        <f>IFERROR(VLOOKUP($A407,'Consolidate List'!$A$2:$P$1048576,15,FALSE),"")</f>
        <v/>
      </c>
      <c r="C407" t="str">
        <f>IFERROR(VLOOKUP($A407,'Consolidate List'!$A$2:$P$1048576,16,FALSE),"")</f>
        <v/>
      </c>
      <c r="D407" t="str">
        <f>IFERROR(VLOOKUP($A407,'Consolidate List'!$A$2:$P$1048576,8,FALSE),"")</f>
        <v/>
      </c>
      <c r="F407" t="str">
        <f>IFERROR(VLOOKUP($A407,'Consolidate List'!$A$2:$P$1048576,12,FALSE),"")</f>
        <v/>
      </c>
      <c r="G407" t="str">
        <f>IFERROR(VLOOKUP($A407,'Consolidate List'!$A$2:$P$1048576,11,FALSE),"")</f>
        <v/>
      </c>
      <c r="H407" t="str">
        <f>IFERROR(VLOOKUP($A407,'Consolidate List'!$A$2:$P$1048576,9,FALSE),"")</f>
        <v/>
      </c>
      <c r="I407" t="str">
        <f>IFERROR(VLOOKUP($A407,'Consolidate List'!$A$2:$P$1048576,10,FALSE),"")</f>
        <v/>
      </c>
      <c r="J407" t="str">
        <f>IFERROR(_xlfn.CONCAT((VLOOKUP($A407,'Consolidate List'!$A$2:$P$1048576,5,FALSE)),", ",VLOOKUP($A407,'Consolidate List'!$A$2:$P$1048576,6,FALSE)),"")</f>
        <v/>
      </c>
      <c r="K407" t="str">
        <f>IFERROR(VLOOKUP($A407,'Consolidate List'!$A$2:$P$1048576,17,FALSE),"")</f>
        <v/>
      </c>
    </row>
    <row r="408" spans="1:11" x14ac:dyDescent="0.35">
      <c r="A408" t="str">
        <f>IFERROR(Tableau1[[#This Row],[ID Unique]],"")</f>
        <v/>
      </c>
      <c r="B408" t="str">
        <f>IFERROR(VLOOKUP($A408,'Consolidate List'!$A$2:$P$1048576,15,FALSE),"")</f>
        <v/>
      </c>
      <c r="C408" t="str">
        <f>IFERROR(VLOOKUP($A408,'Consolidate List'!$A$2:$P$1048576,16,FALSE),"")</f>
        <v/>
      </c>
      <c r="D408" t="str">
        <f>IFERROR(VLOOKUP($A408,'Consolidate List'!$A$2:$P$1048576,8,FALSE),"")</f>
        <v/>
      </c>
      <c r="F408" t="str">
        <f>IFERROR(VLOOKUP($A408,'Consolidate List'!$A$2:$P$1048576,12,FALSE),"")</f>
        <v/>
      </c>
      <c r="G408" t="str">
        <f>IFERROR(VLOOKUP($A408,'Consolidate List'!$A$2:$P$1048576,11,FALSE),"")</f>
        <v/>
      </c>
      <c r="H408" t="str">
        <f>IFERROR(VLOOKUP($A408,'Consolidate List'!$A$2:$P$1048576,9,FALSE),"")</f>
        <v/>
      </c>
      <c r="I408" t="str">
        <f>IFERROR(VLOOKUP($A408,'Consolidate List'!$A$2:$P$1048576,10,FALSE),"")</f>
        <v/>
      </c>
      <c r="J408" t="str">
        <f>IFERROR(_xlfn.CONCAT((VLOOKUP($A408,'Consolidate List'!$A$2:$P$1048576,5,FALSE)),", ",VLOOKUP($A408,'Consolidate List'!$A$2:$P$1048576,6,FALSE)),"")</f>
        <v/>
      </c>
      <c r="K408" t="str">
        <f>IFERROR(VLOOKUP($A408,'Consolidate List'!$A$2:$P$1048576,17,FALSE),"")</f>
        <v/>
      </c>
    </row>
    <row r="409" spans="1:11" x14ac:dyDescent="0.35">
      <c r="A409" t="str">
        <f>IFERROR(Tableau1[[#This Row],[ID Unique]],"")</f>
        <v/>
      </c>
      <c r="B409" t="str">
        <f>IFERROR(VLOOKUP($A409,'Consolidate List'!$A$2:$P$1048576,15,FALSE),"")</f>
        <v/>
      </c>
      <c r="C409" t="str">
        <f>IFERROR(VLOOKUP($A409,'Consolidate List'!$A$2:$P$1048576,16,FALSE),"")</f>
        <v/>
      </c>
      <c r="D409" t="str">
        <f>IFERROR(VLOOKUP($A409,'Consolidate List'!$A$2:$P$1048576,8,FALSE),"")</f>
        <v/>
      </c>
      <c r="F409" t="str">
        <f>IFERROR(VLOOKUP($A409,'Consolidate List'!$A$2:$P$1048576,12,FALSE),"")</f>
        <v/>
      </c>
      <c r="G409" t="str">
        <f>IFERROR(VLOOKUP($A409,'Consolidate List'!$A$2:$P$1048576,11,FALSE),"")</f>
        <v/>
      </c>
      <c r="H409" t="str">
        <f>IFERROR(VLOOKUP($A409,'Consolidate List'!$A$2:$P$1048576,9,FALSE),"")</f>
        <v/>
      </c>
      <c r="I409" t="str">
        <f>IFERROR(VLOOKUP($A409,'Consolidate List'!$A$2:$P$1048576,10,FALSE),"")</f>
        <v/>
      </c>
      <c r="J409" t="str">
        <f>IFERROR(_xlfn.CONCAT((VLOOKUP($A409,'Consolidate List'!$A$2:$P$1048576,5,FALSE)),", ",VLOOKUP($A409,'Consolidate List'!$A$2:$P$1048576,6,FALSE)),"")</f>
        <v/>
      </c>
      <c r="K409" t="str">
        <f>IFERROR(VLOOKUP($A409,'Consolidate List'!$A$2:$P$1048576,17,FALSE),"")</f>
        <v/>
      </c>
    </row>
    <row r="410" spans="1:11" x14ac:dyDescent="0.35">
      <c r="A410" t="str">
        <f>IFERROR(Tableau1[[#This Row],[ID Unique]],"")</f>
        <v/>
      </c>
      <c r="B410" t="str">
        <f>IFERROR(VLOOKUP($A410,'Consolidate List'!$A$2:$P$1048576,15,FALSE),"")</f>
        <v/>
      </c>
      <c r="C410" t="str">
        <f>IFERROR(VLOOKUP($A410,'Consolidate List'!$A$2:$P$1048576,16,FALSE),"")</f>
        <v/>
      </c>
      <c r="D410" t="str">
        <f>IFERROR(VLOOKUP($A410,'Consolidate List'!$A$2:$P$1048576,8,FALSE),"")</f>
        <v/>
      </c>
      <c r="F410" t="str">
        <f>IFERROR(VLOOKUP($A410,'Consolidate List'!$A$2:$P$1048576,12,FALSE),"")</f>
        <v/>
      </c>
      <c r="G410" t="str">
        <f>IFERROR(VLOOKUP($A410,'Consolidate List'!$A$2:$P$1048576,11,FALSE),"")</f>
        <v/>
      </c>
      <c r="H410" t="str">
        <f>IFERROR(VLOOKUP($A410,'Consolidate List'!$A$2:$P$1048576,9,FALSE),"")</f>
        <v/>
      </c>
      <c r="I410" t="str">
        <f>IFERROR(VLOOKUP($A410,'Consolidate List'!$A$2:$P$1048576,10,FALSE),"")</f>
        <v/>
      </c>
      <c r="J410" t="str">
        <f>IFERROR(_xlfn.CONCAT((VLOOKUP($A410,'Consolidate List'!$A$2:$P$1048576,5,FALSE)),", ",VLOOKUP($A410,'Consolidate List'!$A$2:$P$1048576,6,FALSE)),"")</f>
        <v/>
      </c>
      <c r="K410" t="str">
        <f>IFERROR(VLOOKUP($A410,'Consolidate List'!$A$2:$P$1048576,17,FALSE),"")</f>
        <v/>
      </c>
    </row>
    <row r="411" spans="1:11" x14ac:dyDescent="0.35">
      <c r="A411" t="str">
        <f>IFERROR(Tableau1[[#This Row],[ID Unique]],"")</f>
        <v/>
      </c>
      <c r="B411" t="str">
        <f>IFERROR(VLOOKUP($A411,'Consolidate List'!$A$2:$P$1048576,15,FALSE),"")</f>
        <v/>
      </c>
      <c r="C411" t="str">
        <f>IFERROR(VLOOKUP($A411,'Consolidate List'!$A$2:$P$1048576,16,FALSE),"")</f>
        <v/>
      </c>
      <c r="D411" t="str">
        <f>IFERROR(VLOOKUP($A411,'Consolidate List'!$A$2:$P$1048576,8,FALSE),"")</f>
        <v/>
      </c>
      <c r="F411" t="str">
        <f>IFERROR(VLOOKUP($A411,'Consolidate List'!$A$2:$P$1048576,12,FALSE),"")</f>
        <v/>
      </c>
      <c r="G411" t="str">
        <f>IFERROR(VLOOKUP($A411,'Consolidate List'!$A$2:$P$1048576,11,FALSE),"")</f>
        <v/>
      </c>
      <c r="H411" t="str">
        <f>IFERROR(VLOOKUP($A411,'Consolidate List'!$A$2:$P$1048576,9,FALSE),"")</f>
        <v/>
      </c>
      <c r="I411" t="str">
        <f>IFERROR(VLOOKUP($A411,'Consolidate List'!$A$2:$P$1048576,10,FALSE),"")</f>
        <v/>
      </c>
      <c r="J411" t="str">
        <f>IFERROR(_xlfn.CONCAT((VLOOKUP($A411,'Consolidate List'!$A$2:$P$1048576,5,FALSE)),", ",VLOOKUP($A411,'Consolidate List'!$A$2:$P$1048576,6,FALSE)),"")</f>
        <v/>
      </c>
      <c r="K411" t="str">
        <f>IFERROR(VLOOKUP($A411,'Consolidate List'!$A$2:$P$1048576,17,FALSE),"")</f>
        <v/>
      </c>
    </row>
    <row r="412" spans="1:11" x14ac:dyDescent="0.35">
      <c r="A412" t="str">
        <f>IFERROR(Tableau1[[#This Row],[ID Unique]],"")</f>
        <v/>
      </c>
      <c r="B412" t="str">
        <f>IFERROR(VLOOKUP($A412,'Consolidate List'!$A$2:$P$1048576,15,FALSE),"")</f>
        <v/>
      </c>
      <c r="C412" t="str">
        <f>IFERROR(VLOOKUP($A412,'Consolidate List'!$A$2:$P$1048576,16,FALSE),"")</f>
        <v/>
      </c>
      <c r="D412" t="str">
        <f>IFERROR(VLOOKUP($A412,'Consolidate List'!$A$2:$P$1048576,8,FALSE),"")</f>
        <v/>
      </c>
      <c r="F412" t="str">
        <f>IFERROR(VLOOKUP($A412,'Consolidate List'!$A$2:$P$1048576,12,FALSE),"")</f>
        <v/>
      </c>
      <c r="G412" t="str">
        <f>IFERROR(VLOOKUP($A412,'Consolidate List'!$A$2:$P$1048576,11,FALSE),"")</f>
        <v/>
      </c>
      <c r="H412" t="str">
        <f>IFERROR(VLOOKUP($A412,'Consolidate List'!$A$2:$P$1048576,9,FALSE),"")</f>
        <v/>
      </c>
      <c r="I412" t="str">
        <f>IFERROR(VLOOKUP($A412,'Consolidate List'!$A$2:$P$1048576,10,FALSE),"")</f>
        <v/>
      </c>
      <c r="J412" t="str">
        <f>IFERROR(_xlfn.CONCAT((VLOOKUP($A412,'Consolidate List'!$A$2:$P$1048576,5,FALSE)),", ",VLOOKUP($A412,'Consolidate List'!$A$2:$P$1048576,6,FALSE)),"")</f>
        <v/>
      </c>
      <c r="K412" t="str">
        <f>IFERROR(VLOOKUP($A412,'Consolidate List'!$A$2:$P$1048576,17,FALSE),"")</f>
        <v/>
      </c>
    </row>
    <row r="413" spans="1:11" x14ac:dyDescent="0.35">
      <c r="A413" t="str">
        <f>IFERROR(Tableau1[[#This Row],[ID Unique]],"")</f>
        <v/>
      </c>
      <c r="B413" t="str">
        <f>IFERROR(VLOOKUP($A413,'Consolidate List'!$A$2:$P$1048576,15,FALSE),"")</f>
        <v/>
      </c>
      <c r="C413" t="str">
        <f>IFERROR(VLOOKUP($A413,'Consolidate List'!$A$2:$P$1048576,16,FALSE),"")</f>
        <v/>
      </c>
      <c r="D413" t="str">
        <f>IFERROR(VLOOKUP($A413,'Consolidate List'!$A$2:$P$1048576,8,FALSE),"")</f>
        <v/>
      </c>
      <c r="F413" t="str">
        <f>IFERROR(VLOOKUP($A413,'Consolidate List'!$A$2:$P$1048576,12,FALSE),"")</f>
        <v/>
      </c>
      <c r="G413" t="str">
        <f>IFERROR(VLOOKUP($A413,'Consolidate List'!$A$2:$P$1048576,11,FALSE),"")</f>
        <v/>
      </c>
      <c r="H413" t="str">
        <f>IFERROR(VLOOKUP($A413,'Consolidate List'!$A$2:$P$1048576,9,FALSE),"")</f>
        <v/>
      </c>
      <c r="I413" t="str">
        <f>IFERROR(VLOOKUP($A413,'Consolidate List'!$A$2:$P$1048576,10,FALSE),"")</f>
        <v/>
      </c>
      <c r="J413" t="str">
        <f>IFERROR(_xlfn.CONCAT((VLOOKUP($A413,'Consolidate List'!$A$2:$P$1048576,5,FALSE)),", ",VLOOKUP($A413,'Consolidate List'!$A$2:$P$1048576,6,FALSE)),"")</f>
        <v/>
      </c>
      <c r="K413" t="str">
        <f>IFERROR(VLOOKUP($A413,'Consolidate List'!$A$2:$P$1048576,17,FALSE),"")</f>
        <v/>
      </c>
    </row>
    <row r="414" spans="1:11" x14ac:dyDescent="0.35">
      <c r="A414" t="str">
        <f>IFERROR(Tableau1[[#This Row],[ID Unique]],"")</f>
        <v/>
      </c>
      <c r="B414" t="str">
        <f>IFERROR(VLOOKUP($A414,'Consolidate List'!$A$2:$P$1048576,15,FALSE),"")</f>
        <v/>
      </c>
      <c r="C414" t="str">
        <f>IFERROR(VLOOKUP($A414,'Consolidate List'!$A$2:$P$1048576,16,FALSE),"")</f>
        <v/>
      </c>
      <c r="D414" t="str">
        <f>IFERROR(VLOOKUP($A414,'Consolidate List'!$A$2:$P$1048576,8,FALSE),"")</f>
        <v/>
      </c>
      <c r="F414" t="str">
        <f>IFERROR(VLOOKUP($A414,'Consolidate List'!$A$2:$P$1048576,12,FALSE),"")</f>
        <v/>
      </c>
      <c r="G414" t="str">
        <f>IFERROR(VLOOKUP($A414,'Consolidate List'!$A$2:$P$1048576,11,FALSE),"")</f>
        <v/>
      </c>
      <c r="H414" t="str">
        <f>IFERROR(VLOOKUP($A414,'Consolidate List'!$A$2:$P$1048576,9,FALSE),"")</f>
        <v/>
      </c>
      <c r="I414" t="str">
        <f>IFERROR(VLOOKUP($A414,'Consolidate List'!$A$2:$P$1048576,10,FALSE),"")</f>
        <v/>
      </c>
      <c r="J414" t="str">
        <f>IFERROR(_xlfn.CONCAT((VLOOKUP($A414,'Consolidate List'!$A$2:$P$1048576,5,FALSE)),", ",VLOOKUP($A414,'Consolidate List'!$A$2:$P$1048576,6,FALSE)),"")</f>
        <v/>
      </c>
      <c r="K414" t="str">
        <f>IFERROR(VLOOKUP($A414,'Consolidate List'!$A$2:$P$1048576,17,FALSE),"")</f>
        <v/>
      </c>
    </row>
    <row r="415" spans="1:11" x14ac:dyDescent="0.35">
      <c r="A415" t="str">
        <f>IFERROR(Tableau1[[#This Row],[ID Unique]],"")</f>
        <v/>
      </c>
      <c r="B415" t="str">
        <f>IFERROR(VLOOKUP($A415,'Consolidate List'!$A$2:$P$1048576,15,FALSE),"")</f>
        <v/>
      </c>
      <c r="C415" t="str">
        <f>IFERROR(VLOOKUP($A415,'Consolidate List'!$A$2:$P$1048576,16,FALSE),"")</f>
        <v/>
      </c>
      <c r="D415" t="str">
        <f>IFERROR(VLOOKUP($A415,'Consolidate List'!$A$2:$P$1048576,8,FALSE),"")</f>
        <v/>
      </c>
      <c r="F415" t="str">
        <f>IFERROR(VLOOKUP($A415,'Consolidate List'!$A$2:$P$1048576,12,FALSE),"")</f>
        <v/>
      </c>
      <c r="G415" t="str">
        <f>IFERROR(VLOOKUP($A415,'Consolidate List'!$A$2:$P$1048576,11,FALSE),"")</f>
        <v/>
      </c>
      <c r="H415" t="str">
        <f>IFERROR(VLOOKUP($A415,'Consolidate List'!$A$2:$P$1048576,9,FALSE),"")</f>
        <v/>
      </c>
      <c r="I415" t="str">
        <f>IFERROR(VLOOKUP($A415,'Consolidate List'!$A$2:$P$1048576,10,FALSE),"")</f>
        <v/>
      </c>
      <c r="J415" t="str">
        <f>IFERROR(_xlfn.CONCAT((VLOOKUP($A415,'Consolidate List'!$A$2:$P$1048576,5,FALSE)),", ",VLOOKUP($A415,'Consolidate List'!$A$2:$P$1048576,6,FALSE)),"")</f>
        <v/>
      </c>
      <c r="K415" t="str">
        <f>IFERROR(VLOOKUP($A415,'Consolidate List'!$A$2:$P$1048576,17,FALSE),"")</f>
        <v/>
      </c>
    </row>
    <row r="416" spans="1:11" x14ac:dyDescent="0.35">
      <c r="A416" t="str">
        <f>IFERROR(Tableau1[[#This Row],[ID Unique]],"")</f>
        <v/>
      </c>
      <c r="B416" t="str">
        <f>IFERROR(VLOOKUP($A416,'Consolidate List'!$A$2:$P$1048576,15,FALSE),"")</f>
        <v/>
      </c>
      <c r="C416" t="str">
        <f>IFERROR(VLOOKUP($A416,'Consolidate List'!$A$2:$P$1048576,16,FALSE),"")</f>
        <v/>
      </c>
      <c r="D416" t="str">
        <f>IFERROR(VLOOKUP($A416,'Consolidate List'!$A$2:$P$1048576,8,FALSE),"")</f>
        <v/>
      </c>
      <c r="F416" t="str">
        <f>IFERROR(VLOOKUP($A416,'Consolidate List'!$A$2:$P$1048576,12,FALSE),"")</f>
        <v/>
      </c>
      <c r="G416" t="str">
        <f>IFERROR(VLOOKUP($A416,'Consolidate List'!$A$2:$P$1048576,11,FALSE),"")</f>
        <v/>
      </c>
      <c r="H416" t="str">
        <f>IFERROR(VLOOKUP($A416,'Consolidate List'!$A$2:$P$1048576,9,FALSE),"")</f>
        <v/>
      </c>
      <c r="I416" t="str">
        <f>IFERROR(VLOOKUP($A416,'Consolidate List'!$A$2:$P$1048576,10,FALSE),"")</f>
        <v/>
      </c>
      <c r="J416" t="str">
        <f>IFERROR(_xlfn.CONCAT((VLOOKUP($A416,'Consolidate List'!$A$2:$P$1048576,5,FALSE)),", ",VLOOKUP($A416,'Consolidate List'!$A$2:$P$1048576,6,FALSE)),"")</f>
        <v/>
      </c>
      <c r="K416" t="str">
        <f>IFERROR(VLOOKUP($A416,'Consolidate List'!$A$2:$P$1048576,17,FALSE),"")</f>
        <v/>
      </c>
    </row>
    <row r="417" spans="1:11" x14ac:dyDescent="0.35">
      <c r="A417" t="str">
        <f>IFERROR(Tableau1[[#This Row],[ID Unique]],"")</f>
        <v/>
      </c>
      <c r="B417" t="str">
        <f>IFERROR(VLOOKUP($A417,'Consolidate List'!$A$2:$P$1048576,15,FALSE),"")</f>
        <v/>
      </c>
      <c r="C417" t="str">
        <f>IFERROR(VLOOKUP($A417,'Consolidate List'!$A$2:$P$1048576,16,FALSE),"")</f>
        <v/>
      </c>
      <c r="D417" t="str">
        <f>IFERROR(VLOOKUP($A417,'Consolidate List'!$A$2:$P$1048576,8,FALSE),"")</f>
        <v/>
      </c>
      <c r="F417" t="str">
        <f>IFERROR(VLOOKUP($A417,'Consolidate List'!$A$2:$P$1048576,12,FALSE),"")</f>
        <v/>
      </c>
      <c r="G417" t="str">
        <f>IFERROR(VLOOKUP($A417,'Consolidate List'!$A$2:$P$1048576,11,FALSE),"")</f>
        <v/>
      </c>
      <c r="H417" t="str">
        <f>IFERROR(VLOOKUP($A417,'Consolidate List'!$A$2:$P$1048576,9,FALSE),"")</f>
        <v/>
      </c>
      <c r="I417" t="str">
        <f>IFERROR(VLOOKUP($A417,'Consolidate List'!$A$2:$P$1048576,10,FALSE),"")</f>
        <v/>
      </c>
      <c r="J417" t="str">
        <f>IFERROR(_xlfn.CONCAT((VLOOKUP($A417,'Consolidate List'!$A$2:$P$1048576,5,FALSE)),", ",VLOOKUP($A417,'Consolidate List'!$A$2:$P$1048576,6,FALSE)),"")</f>
        <v/>
      </c>
      <c r="K417" t="str">
        <f>IFERROR(VLOOKUP($A417,'Consolidate List'!$A$2:$P$1048576,17,FALSE),"")</f>
        <v/>
      </c>
    </row>
    <row r="418" spans="1:11" x14ac:dyDescent="0.35">
      <c r="A418" t="str">
        <f>IFERROR(Tableau1[[#This Row],[ID Unique]],"")</f>
        <v/>
      </c>
      <c r="B418" t="str">
        <f>IFERROR(VLOOKUP($A418,'Consolidate List'!$A$2:$P$1048576,15,FALSE),"")</f>
        <v/>
      </c>
      <c r="C418" t="str">
        <f>IFERROR(VLOOKUP($A418,'Consolidate List'!$A$2:$P$1048576,16,FALSE),"")</f>
        <v/>
      </c>
      <c r="D418" t="str">
        <f>IFERROR(VLOOKUP($A418,'Consolidate List'!$A$2:$P$1048576,8,FALSE),"")</f>
        <v/>
      </c>
      <c r="F418" t="str">
        <f>IFERROR(VLOOKUP($A418,'Consolidate List'!$A$2:$P$1048576,12,FALSE),"")</f>
        <v/>
      </c>
      <c r="G418" t="str">
        <f>IFERROR(VLOOKUP($A418,'Consolidate List'!$A$2:$P$1048576,11,FALSE),"")</f>
        <v/>
      </c>
      <c r="H418" t="str">
        <f>IFERROR(VLOOKUP($A418,'Consolidate List'!$A$2:$P$1048576,9,FALSE),"")</f>
        <v/>
      </c>
      <c r="I418" t="str">
        <f>IFERROR(VLOOKUP($A418,'Consolidate List'!$A$2:$P$1048576,10,FALSE),"")</f>
        <v/>
      </c>
      <c r="J418" t="str">
        <f>IFERROR(_xlfn.CONCAT((VLOOKUP($A418,'Consolidate List'!$A$2:$P$1048576,5,FALSE)),", ",VLOOKUP($A418,'Consolidate List'!$A$2:$P$1048576,6,FALSE)),"")</f>
        <v/>
      </c>
      <c r="K418" t="str">
        <f>IFERROR(VLOOKUP($A418,'Consolidate List'!$A$2:$P$1048576,17,FALSE),"")</f>
        <v/>
      </c>
    </row>
    <row r="419" spans="1:11" x14ac:dyDescent="0.35">
      <c r="A419" t="str">
        <f>IFERROR(Tableau1[[#This Row],[ID Unique]],"")</f>
        <v/>
      </c>
      <c r="B419" t="str">
        <f>IFERROR(VLOOKUP($A419,'Consolidate List'!$A$2:$P$1048576,15,FALSE),"")</f>
        <v/>
      </c>
      <c r="C419" t="str">
        <f>IFERROR(VLOOKUP($A419,'Consolidate List'!$A$2:$P$1048576,16,FALSE),"")</f>
        <v/>
      </c>
      <c r="D419" t="str">
        <f>IFERROR(VLOOKUP($A419,'Consolidate List'!$A$2:$P$1048576,8,FALSE),"")</f>
        <v/>
      </c>
      <c r="F419" t="str">
        <f>IFERROR(VLOOKUP($A419,'Consolidate List'!$A$2:$P$1048576,12,FALSE),"")</f>
        <v/>
      </c>
      <c r="G419" t="str">
        <f>IFERROR(VLOOKUP($A419,'Consolidate List'!$A$2:$P$1048576,11,FALSE),"")</f>
        <v/>
      </c>
      <c r="H419" t="str">
        <f>IFERROR(VLOOKUP($A419,'Consolidate List'!$A$2:$P$1048576,9,FALSE),"")</f>
        <v/>
      </c>
      <c r="I419" t="str">
        <f>IFERROR(VLOOKUP($A419,'Consolidate List'!$A$2:$P$1048576,10,FALSE),"")</f>
        <v/>
      </c>
      <c r="J419" t="str">
        <f>IFERROR(_xlfn.CONCAT((VLOOKUP($A419,'Consolidate List'!$A$2:$P$1048576,5,FALSE)),", ",VLOOKUP($A419,'Consolidate List'!$A$2:$P$1048576,6,FALSE)),"")</f>
        <v/>
      </c>
      <c r="K419" t="str">
        <f>IFERROR(VLOOKUP($A419,'Consolidate List'!$A$2:$P$1048576,17,FALSE),"")</f>
        <v/>
      </c>
    </row>
    <row r="420" spans="1:11" x14ac:dyDescent="0.35">
      <c r="A420" t="str">
        <f>IFERROR(Tableau1[[#This Row],[ID Unique]],"")</f>
        <v/>
      </c>
      <c r="B420" t="str">
        <f>IFERROR(VLOOKUP($A420,'Consolidate List'!$A$2:$P$1048576,15,FALSE),"")</f>
        <v/>
      </c>
      <c r="C420" t="str">
        <f>IFERROR(VLOOKUP($A420,'Consolidate List'!$A$2:$P$1048576,16,FALSE),"")</f>
        <v/>
      </c>
      <c r="D420" t="str">
        <f>IFERROR(VLOOKUP($A420,'Consolidate List'!$A$2:$P$1048576,8,FALSE),"")</f>
        <v/>
      </c>
      <c r="F420" t="str">
        <f>IFERROR(VLOOKUP($A420,'Consolidate List'!$A$2:$P$1048576,12,FALSE),"")</f>
        <v/>
      </c>
      <c r="G420" t="str">
        <f>IFERROR(VLOOKUP($A420,'Consolidate List'!$A$2:$P$1048576,11,FALSE),"")</f>
        <v/>
      </c>
      <c r="H420" t="str">
        <f>IFERROR(VLOOKUP($A420,'Consolidate List'!$A$2:$P$1048576,9,FALSE),"")</f>
        <v/>
      </c>
      <c r="I420" t="str">
        <f>IFERROR(VLOOKUP($A420,'Consolidate List'!$A$2:$P$1048576,10,FALSE),"")</f>
        <v/>
      </c>
      <c r="J420" t="str">
        <f>IFERROR(_xlfn.CONCAT((VLOOKUP($A420,'Consolidate List'!$A$2:$P$1048576,5,FALSE)),", ",VLOOKUP($A420,'Consolidate List'!$A$2:$P$1048576,6,FALSE)),"")</f>
        <v/>
      </c>
      <c r="K420" t="str">
        <f>IFERROR(VLOOKUP($A420,'Consolidate List'!$A$2:$P$1048576,17,FALSE),"")</f>
        <v/>
      </c>
    </row>
    <row r="421" spans="1:11" x14ac:dyDescent="0.35">
      <c r="A421" t="str">
        <f>IFERROR(Tableau1[[#This Row],[ID Unique]],"")</f>
        <v/>
      </c>
      <c r="B421" t="str">
        <f>IFERROR(VLOOKUP($A421,'Consolidate List'!$A$2:$P$1048576,15,FALSE),"")</f>
        <v/>
      </c>
      <c r="C421" t="str">
        <f>IFERROR(VLOOKUP($A421,'Consolidate List'!$A$2:$P$1048576,16,FALSE),"")</f>
        <v/>
      </c>
      <c r="D421" t="str">
        <f>IFERROR(VLOOKUP($A421,'Consolidate List'!$A$2:$P$1048576,8,FALSE),"")</f>
        <v/>
      </c>
      <c r="F421" t="str">
        <f>IFERROR(VLOOKUP($A421,'Consolidate List'!$A$2:$P$1048576,12,FALSE),"")</f>
        <v/>
      </c>
      <c r="G421" t="str">
        <f>IFERROR(VLOOKUP($A421,'Consolidate List'!$A$2:$P$1048576,11,FALSE),"")</f>
        <v/>
      </c>
      <c r="H421" t="str">
        <f>IFERROR(VLOOKUP($A421,'Consolidate List'!$A$2:$P$1048576,9,FALSE),"")</f>
        <v/>
      </c>
      <c r="I421" t="str">
        <f>IFERROR(VLOOKUP($A421,'Consolidate List'!$A$2:$P$1048576,10,FALSE),"")</f>
        <v/>
      </c>
      <c r="J421" t="str">
        <f>IFERROR(_xlfn.CONCAT((VLOOKUP($A421,'Consolidate List'!$A$2:$P$1048576,5,FALSE)),", ",VLOOKUP($A421,'Consolidate List'!$A$2:$P$1048576,6,FALSE)),"")</f>
        <v/>
      </c>
      <c r="K421" t="str">
        <f>IFERROR(VLOOKUP($A421,'Consolidate List'!$A$2:$P$1048576,17,FALSE),"")</f>
        <v/>
      </c>
    </row>
    <row r="422" spans="1:11" x14ac:dyDescent="0.35">
      <c r="A422" t="str">
        <f>IFERROR(Tableau1[[#This Row],[ID Unique]],"")</f>
        <v/>
      </c>
      <c r="B422" t="str">
        <f>IFERROR(VLOOKUP($A422,'Consolidate List'!$A$2:$P$1048576,15,FALSE),"")</f>
        <v/>
      </c>
      <c r="C422" t="str">
        <f>IFERROR(VLOOKUP($A422,'Consolidate List'!$A$2:$P$1048576,16,FALSE),"")</f>
        <v/>
      </c>
      <c r="D422" t="str">
        <f>IFERROR(VLOOKUP($A422,'Consolidate List'!$A$2:$P$1048576,8,FALSE),"")</f>
        <v/>
      </c>
      <c r="F422" t="str">
        <f>IFERROR(VLOOKUP($A422,'Consolidate List'!$A$2:$P$1048576,12,FALSE),"")</f>
        <v/>
      </c>
      <c r="G422" t="str">
        <f>IFERROR(VLOOKUP($A422,'Consolidate List'!$A$2:$P$1048576,11,FALSE),"")</f>
        <v/>
      </c>
      <c r="H422" t="str">
        <f>IFERROR(VLOOKUP($A422,'Consolidate List'!$A$2:$P$1048576,9,FALSE),"")</f>
        <v/>
      </c>
      <c r="I422" t="str">
        <f>IFERROR(VLOOKUP($A422,'Consolidate List'!$A$2:$P$1048576,10,FALSE),"")</f>
        <v/>
      </c>
      <c r="J422" t="str">
        <f>IFERROR(_xlfn.CONCAT((VLOOKUP($A422,'Consolidate List'!$A$2:$P$1048576,5,FALSE)),", ",VLOOKUP($A422,'Consolidate List'!$A$2:$P$1048576,6,FALSE)),"")</f>
        <v/>
      </c>
      <c r="K422" t="str">
        <f>IFERROR(VLOOKUP($A422,'Consolidate List'!$A$2:$P$1048576,17,FALSE),"")</f>
        <v/>
      </c>
    </row>
    <row r="423" spans="1:11" x14ac:dyDescent="0.35">
      <c r="A423" t="str">
        <f>IFERROR(Tableau1[[#This Row],[ID Unique]],"")</f>
        <v/>
      </c>
      <c r="B423" t="str">
        <f>IFERROR(VLOOKUP($A423,'Consolidate List'!$A$2:$P$1048576,15,FALSE),"")</f>
        <v/>
      </c>
      <c r="C423" t="str">
        <f>IFERROR(VLOOKUP($A423,'Consolidate List'!$A$2:$P$1048576,16,FALSE),"")</f>
        <v/>
      </c>
      <c r="D423" t="str">
        <f>IFERROR(VLOOKUP($A423,'Consolidate List'!$A$2:$P$1048576,8,FALSE),"")</f>
        <v/>
      </c>
      <c r="F423" t="str">
        <f>IFERROR(VLOOKUP($A423,'Consolidate List'!$A$2:$P$1048576,12,FALSE),"")</f>
        <v/>
      </c>
      <c r="G423" t="str">
        <f>IFERROR(VLOOKUP($A423,'Consolidate List'!$A$2:$P$1048576,11,FALSE),"")</f>
        <v/>
      </c>
      <c r="H423" t="str">
        <f>IFERROR(VLOOKUP($A423,'Consolidate List'!$A$2:$P$1048576,9,FALSE),"")</f>
        <v/>
      </c>
      <c r="I423" t="str">
        <f>IFERROR(VLOOKUP($A423,'Consolidate List'!$A$2:$P$1048576,10,FALSE),"")</f>
        <v/>
      </c>
      <c r="J423" t="str">
        <f>IFERROR(_xlfn.CONCAT((VLOOKUP($A423,'Consolidate List'!$A$2:$P$1048576,5,FALSE)),", ",VLOOKUP($A423,'Consolidate List'!$A$2:$P$1048576,6,FALSE)),"")</f>
        <v/>
      </c>
      <c r="K423" t="str">
        <f>IFERROR(VLOOKUP($A423,'Consolidate List'!$A$2:$P$1048576,17,FALSE),"")</f>
        <v/>
      </c>
    </row>
    <row r="424" spans="1:11" x14ac:dyDescent="0.35">
      <c r="A424" t="str">
        <f>IFERROR(Tableau1[[#This Row],[ID Unique]],"")</f>
        <v/>
      </c>
      <c r="B424" t="str">
        <f>IFERROR(VLOOKUP($A424,'Consolidate List'!$A$2:$P$1048576,15,FALSE),"")</f>
        <v/>
      </c>
      <c r="C424" t="str">
        <f>IFERROR(VLOOKUP($A424,'Consolidate List'!$A$2:$P$1048576,16,FALSE),"")</f>
        <v/>
      </c>
      <c r="D424" t="str">
        <f>IFERROR(VLOOKUP($A424,'Consolidate List'!$A$2:$P$1048576,8,FALSE),"")</f>
        <v/>
      </c>
      <c r="F424" t="str">
        <f>IFERROR(VLOOKUP($A424,'Consolidate List'!$A$2:$P$1048576,12,FALSE),"")</f>
        <v/>
      </c>
      <c r="G424" t="str">
        <f>IFERROR(VLOOKUP($A424,'Consolidate List'!$A$2:$P$1048576,11,FALSE),"")</f>
        <v/>
      </c>
      <c r="H424" t="str">
        <f>IFERROR(VLOOKUP($A424,'Consolidate List'!$A$2:$P$1048576,9,FALSE),"")</f>
        <v/>
      </c>
      <c r="I424" t="str">
        <f>IFERROR(VLOOKUP($A424,'Consolidate List'!$A$2:$P$1048576,10,FALSE),"")</f>
        <v/>
      </c>
      <c r="J424" t="str">
        <f>IFERROR(_xlfn.CONCAT((VLOOKUP($A424,'Consolidate List'!$A$2:$P$1048576,5,FALSE)),", ",VLOOKUP($A424,'Consolidate List'!$A$2:$P$1048576,6,FALSE)),"")</f>
        <v/>
      </c>
      <c r="K424" t="str">
        <f>IFERROR(VLOOKUP($A424,'Consolidate List'!$A$2:$P$1048576,17,FALSE),"")</f>
        <v/>
      </c>
    </row>
    <row r="425" spans="1:11" x14ac:dyDescent="0.35">
      <c r="A425" t="str">
        <f>IFERROR(Tableau1[[#This Row],[ID Unique]],"")</f>
        <v/>
      </c>
      <c r="B425" t="str">
        <f>IFERROR(VLOOKUP($A425,'Consolidate List'!$A$2:$P$1048576,15,FALSE),"")</f>
        <v/>
      </c>
      <c r="C425" t="str">
        <f>IFERROR(VLOOKUP($A425,'Consolidate List'!$A$2:$P$1048576,16,FALSE),"")</f>
        <v/>
      </c>
      <c r="D425" t="str">
        <f>IFERROR(VLOOKUP($A425,'Consolidate List'!$A$2:$P$1048576,8,FALSE),"")</f>
        <v/>
      </c>
      <c r="F425" t="str">
        <f>IFERROR(VLOOKUP($A425,'Consolidate List'!$A$2:$P$1048576,12,FALSE),"")</f>
        <v/>
      </c>
      <c r="G425" t="str">
        <f>IFERROR(VLOOKUP($A425,'Consolidate List'!$A$2:$P$1048576,11,FALSE),"")</f>
        <v/>
      </c>
      <c r="H425" t="str">
        <f>IFERROR(VLOOKUP($A425,'Consolidate List'!$A$2:$P$1048576,9,FALSE),"")</f>
        <v/>
      </c>
      <c r="I425" t="str">
        <f>IFERROR(VLOOKUP($A425,'Consolidate List'!$A$2:$P$1048576,10,FALSE),"")</f>
        <v/>
      </c>
      <c r="J425" t="str">
        <f>IFERROR(_xlfn.CONCAT((VLOOKUP($A425,'Consolidate List'!$A$2:$P$1048576,5,FALSE)),", ",VLOOKUP($A425,'Consolidate List'!$A$2:$P$1048576,6,FALSE)),"")</f>
        <v/>
      </c>
      <c r="K425" t="str">
        <f>IFERROR(VLOOKUP($A425,'Consolidate List'!$A$2:$P$1048576,17,FALSE),"")</f>
        <v/>
      </c>
    </row>
    <row r="426" spans="1:11" x14ac:dyDescent="0.35">
      <c r="A426" t="str">
        <f>IFERROR(Tableau1[[#This Row],[ID Unique]],"")</f>
        <v/>
      </c>
      <c r="B426" t="str">
        <f>IFERROR(VLOOKUP($A426,'Consolidate List'!$A$2:$P$1048576,15,FALSE),"")</f>
        <v/>
      </c>
      <c r="C426" t="str">
        <f>IFERROR(VLOOKUP($A426,'Consolidate List'!$A$2:$P$1048576,16,FALSE),"")</f>
        <v/>
      </c>
      <c r="D426" t="str">
        <f>IFERROR(VLOOKUP($A426,'Consolidate List'!$A$2:$P$1048576,8,FALSE),"")</f>
        <v/>
      </c>
      <c r="F426" t="str">
        <f>IFERROR(VLOOKUP($A426,'Consolidate List'!$A$2:$P$1048576,12,FALSE),"")</f>
        <v/>
      </c>
      <c r="G426" t="str">
        <f>IFERROR(VLOOKUP($A426,'Consolidate List'!$A$2:$P$1048576,11,FALSE),"")</f>
        <v/>
      </c>
      <c r="H426" t="str">
        <f>IFERROR(VLOOKUP($A426,'Consolidate List'!$A$2:$P$1048576,9,FALSE),"")</f>
        <v/>
      </c>
      <c r="I426" t="str">
        <f>IFERROR(VLOOKUP($A426,'Consolidate List'!$A$2:$P$1048576,10,FALSE),"")</f>
        <v/>
      </c>
      <c r="J426" t="str">
        <f>IFERROR(_xlfn.CONCAT((VLOOKUP($A426,'Consolidate List'!$A$2:$P$1048576,5,FALSE)),", ",VLOOKUP($A426,'Consolidate List'!$A$2:$P$1048576,6,FALSE)),"")</f>
        <v/>
      </c>
      <c r="K426" t="str">
        <f>IFERROR(VLOOKUP($A426,'Consolidate List'!$A$2:$P$1048576,17,FALSE),"")</f>
        <v/>
      </c>
    </row>
    <row r="427" spans="1:11" x14ac:dyDescent="0.35">
      <c r="A427" t="str">
        <f>IFERROR(Tableau1[[#This Row],[ID Unique]],"")</f>
        <v/>
      </c>
      <c r="B427" t="str">
        <f>IFERROR(VLOOKUP($A427,'Consolidate List'!$A$2:$P$1048576,15,FALSE),"")</f>
        <v/>
      </c>
      <c r="C427" t="str">
        <f>IFERROR(VLOOKUP($A427,'Consolidate List'!$A$2:$P$1048576,16,FALSE),"")</f>
        <v/>
      </c>
      <c r="D427" t="str">
        <f>IFERROR(VLOOKUP($A427,'Consolidate List'!$A$2:$P$1048576,8,FALSE),"")</f>
        <v/>
      </c>
      <c r="F427" t="str">
        <f>IFERROR(VLOOKUP($A427,'Consolidate List'!$A$2:$P$1048576,12,FALSE),"")</f>
        <v/>
      </c>
      <c r="G427" t="str">
        <f>IFERROR(VLOOKUP($A427,'Consolidate List'!$A$2:$P$1048576,11,FALSE),"")</f>
        <v/>
      </c>
      <c r="H427" t="str">
        <f>IFERROR(VLOOKUP($A427,'Consolidate List'!$A$2:$P$1048576,9,FALSE),"")</f>
        <v/>
      </c>
      <c r="I427" t="str">
        <f>IFERROR(VLOOKUP($A427,'Consolidate List'!$A$2:$P$1048576,10,FALSE),"")</f>
        <v/>
      </c>
      <c r="J427" t="str">
        <f>IFERROR(_xlfn.CONCAT((VLOOKUP($A427,'Consolidate List'!$A$2:$P$1048576,5,FALSE)),", ",VLOOKUP($A427,'Consolidate List'!$A$2:$P$1048576,6,FALSE)),"")</f>
        <v/>
      </c>
      <c r="K427" t="str">
        <f>IFERROR(VLOOKUP($A427,'Consolidate List'!$A$2:$P$1048576,17,FALSE),"")</f>
        <v/>
      </c>
    </row>
    <row r="428" spans="1:11" x14ac:dyDescent="0.35">
      <c r="A428" t="str">
        <f>IFERROR(Tableau1[[#This Row],[ID Unique]],"")</f>
        <v/>
      </c>
      <c r="B428" t="str">
        <f>IFERROR(VLOOKUP($A428,'Consolidate List'!$A$2:$P$1048576,15,FALSE),"")</f>
        <v/>
      </c>
      <c r="C428" t="str">
        <f>IFERROR(VLOOKUP($A428,'Consolidate List'!$A$2:$P$1048576,16,FALSE),"")</f>
        <v/>
      </c>
      <c r="D428" t="str">
        <f>IFERROR(VLOOKUP($A428,'Consolidate List'!$A$2:$P$1048576,8,FALSE),"")</f>
        <v/>
      </c>
      <c r="F428" t="str">
        <f>IFERROR(VLOOKUP($A428,'Consolidate List'!$A$2:$P$1048576,12,FALSE),"")</f>
        <v/>
      </c>
      <c r="G428" t="str">
        <f>IFERROR(VLOOKUP($A428,'Consolidate List'!$A$2:$P$1048576,11,FALSE),"")</f>
        <v/>
      </c>
      <c r="H428" t="str">
        <f>IFERROR(VLOOKUP($A428,'Consolidate List'!$A$2:$P$1048576,9,FALSE),"")</f>
        <v/>
      </c>
      <c r="I428" t="str">
        <f>IFERROR(VLOOKUP($A428,'Consolidate List'!$A$2:$P$1048576,10,FALSE),"")</f>
        <v/>
      </c>
      <c r="J428" t="str">
        <f>IFERROR(_xlfn.CONCAT((VLOOKUP($A428,'Consolidate List'!$A$2:$P$1048576,5,FALSE)),", ",VLOOKUP($A428,'Consolidate List'!$A$2:$P$1048576,6,FALSE)),"")</f>
        <v/>
      </c>
      <c r="K428" t="str">
        <f>IFERROR(VLOOKUP($A428,'Consolidate List'!$A$2:$P$1048576,17,FALSE),"")</f>
        <v/>
      </c>
    </row>
    <row r="429" spans="1:11" x14ac:dyDescent="0.35">
      <c r="A429" t="str">
        <f>IFERROR(Tableau1[[#This Row],[ID Unique]],"")</f>
        <v/>
      </c>
      <c r="B429" t="str">
        <f>IFERROR(VLOOKUP($A429,'Consolidate List'!$A$2:$P$1048576,15,FALSE),"")</f>
        <v/>
      </c>
      <c r="C429" t="str">
        <f>IFERROR(VLOOKUP($A429,'Consolidate List'!$A$2:$P$1048576,16,FALSE),"")</f>
        <v/>
      </c>
      <c r="D429" t="str">
        <f>IFERROR(VLOOKUP($A429,'Consolidate List'!$A$2:$P$1048576,8,FALSE),"")</f>
        <v/>
      </c>
      <c r="F429" t="str">
        <f>IFERROR(VLOOKUP($A429,'Consolidate List'!$A$2:$P$1048576,12,FALSE),"")</f>
        <v/>
      </c>
      <c r="G429" t="str">
        <f>IFERROR(VLOOKUP($A429,'Consolidate List'!$A$2:$P$1048576,11,FALSE),"")</f>
        <v/>
      </c>
      <c r="H429" t="str">
        <f>IFERROR(VLOOKUP($A429,'Consolidate List'!$A$2:$P$1048576,9,FALSE),"")</f>
        <v/>
      </c>
      <c r="I429" t="str">
        <f>IFERROR(VLOOKUP($A429,'Consolidate List'!$A$2:$P$1048576,10,FALSE),"")</f>
        <v/>
      </c>
      <c r="J429" t="str">
        <f>IFERROR(_xlfn.CONCAT((VLOOKUP($A429,'Consolidate List'!$A$2:$P$1048576,5,FALSE)),", ",VLOOKUP($A429,'Consolidate List'!$A$2:$P$1048576,6,FALSE)),"")</f>
        <v/>
      </c>
      <c r="K429" t="str">
        <f>IFERROR(VLOOKUP($A429,'Consolidate List'!$A$2:$P$1048576,17,FALSE),"")</f>
        <v/>
      </c>
    </row>
    <row r="430" spans="1:11" x14ac:dyDescent="0.35">
      <c r="A430" t="str">
        <f>IFERROR(Tableau1[[#This Row],[ID Unique]],"")</f>
        <v/>
      </c>
      <c r="B430" t="str">
        <f>IFERROR(VLOOKUP($A430,'Consolidate List'!$A$2:$P$1048576,15,FALSE),"")</f>
        <v/>
      </c>
      <c r="C430" t="str">
        <f>IFERROR(VLOOKUP($A430,'Consolidate List'!$A$2:$P$1048576,16,FALSE),"")</f>
        <v/>
      </c>
      <c r="D430" t="str">
        <f>IFERROR(VLOOKUP($A430,'Consolidate List'!$A$2:$P$1048576,8,FALSE),"")</f>
        <v/>
      </c>
      <c r="F430" t="str">
        <f>IFERROR(VLOOKUP($A430,'Consolidate List'!$A$2:$P$1048576,12,FALSE),"")</f>
        <v/>
      </c>
      <c r="G430" t="str">
        <f>IFERROR(VLOOKUP($A430,'Consolidate List'!$A$2:$P$1048576,11,FALSE),"")</f>
        <v/>
      </c>
      <c r="H430" t="str">
        <f>IFERROR(VLOOKUP($A430,'Consolidate List'!$A$2:$P$1048576,9,FALSE),"")</f>
        <v/>
      </c>
      <c r="I430" t="str">
        <f>IFERROR(VLOOKUP($A430,'Consolidate List'!$A$2:$P$1048576,10,FALSE),"")</f>
        <v/>
      </c>
      <c r="J430" t="str">
        <f>IFERROR(_xlfn.CONCAT((VLOOKUP($A430,'Consolidate List'!$A$2:$P$1048576,5,FALSE)),", ",VLOOKUP($A430,'Consolidate List'!$A$2:$P$1048576,6,FALSE)),"")</f>
        <v/>
      </c>
      <c r="K430" t="str">
        <f>IFERROR(VLOOKUP($A430,'Consolidate List'!$A$2:$P$1048576,17,FALSE),"")</f>
        <v/>
      </c>
    </row>
    <row r="431" spans="1:11" x14ac:dyDescent="0.35">
      <c r="A431" t="str">
        <f>IFERROR(Tableau1[[#This Row],[ID Unique]],"")</f>
        <v/>
      </c>
      <c r="B431" t="str">
        <f>IFERROR(VLOOKUP($A431,'Consolidate List'!$A$2:$P$1048576,15,FALSE),"")</f>
        <v/>
      </c>
      <c r="C431" t="str">
        <f>IFERROR(VLOOKUP($A431,'Consolidate List'!$A$2:$P$1048576,16,FALSE),"")</f>
        <v/>
      </c>
      <c r="D431" t="str">
        <f>IFERROR(VLOOKUP($A431,'Consolidate List'!$A$2:$P$1048576,8,FALSE),"")</f>
        <v/>
      </c>
      <c r="F431" t="str">
        <f>IFERROR(VLOOKUP($A431,'Consolidate List'!$A$2:$P$1048576,12,FALSE),"")</f>
        <v/>
      </c>
      <c r="G431" t="str">
        <f>IFERROR(VLOOKUP($A431,'Consolidate List'!$A$2:$P$1048576,11,FALSE),"")</f>
        <v/>
      </c>
      <c r="H431" t="str">
        <f>IFERROR(VLOOKUP($A431,'Consolidate List'!$A$2:$P$1048576,9,FALSE),"")</f>
        <v/>
      </c>
      <c r="I431" t="str">
        <f>IFERROR(VLOOKUP($A431,'Consolidate List'!$A$2:$P$1048576,10,FALSE),"")</f>
        <v/>
      </c>
      <c r="J431" t="str">
        <f>IFERROR(_xlfn.CONCAT((VLOOKUP($A431,'Consolidate List'!$A$2:$P$1048576,5,FALSE)),", ",VLOOKUP($A431,'Consolidate List'!$A$2:$P$1048576,6,FALSE)),"")</f>
        <v/>
      </c>
      <c r="K431" t="str">
        <f>IFERROR(VLOOKUP($A431,'Consolidate List'!$A$2:$P$1048576,17,FALSE),"")</f>
        <v/>
      </c>
    </row>
    <row r="432" spans="1:11" x14ac:dyDescent="0.35">
      <c r="A432" t="str">
        <f>IFERROR(Tableau1[[#This Row],[ID Unique]],"")</f>
        <v/>
      </c>
      <c r="B432" t="str">
        <f>IFERROR(VLOOKUP($A432,'Consolidate List'!$A$2:$P$1048576,15,FALSE),"")</f>
        <v/>
      </c>
      <c r="C432" t="str">
        <f>IFERROR(VLOOKUP($A432,'Consolidate List'!$A$2:$P$1048576,16,FALSE),"")</f>
        <v/>
      </c>
      <c r="D432" t="str">
        <f>IFERROR(VLOOKUP($A432,'Consolidate List'!$A$2:$P$1048576,8,FALSE),"")</f>
        <v/>
      </c>
      <c r="F432" t="str">
        <f>IFERROR(VLOOKUP($A432,'Consolidate List'!$A$2:$P$1048576,12,FALSE),"")</f>
        <v/>
      </c>
      <c r="G432" t="str">
        <f>IFERROR(VLOOKUP($A432,'Consolidate List'!$A$2:$P$1048576,11,FALSE),"")</f>
        <v/>
      </c>
      <c r="H432" t="str">
        <f>IFERROR(VLOOKUP($A432,'Consolidate List'!$A$2:$P$1048576,9,FALSE),"")</f>
        <v/>
      </c>
      <c r="I432" t="str">
        <f>IFERROR(VLOOKUP($A432,'Consolidate List'!$A$2:$P$1048576,10,FALSE),"")</f>
        <v/>
      </c>
      <c r="J432" t="str">
        <f>IFERROR(_xlfn.CONCAT((VLOOKUP($A432,'Consolidate List'!$A$2:$P$1048576,5,FALSE)),", ",VLOOKUP($A432,'Consolidate List'!$A$2:$P$1048576,6,FALSE)),"")</f>
        <v/>
      </c>
      <c r="K432" t="str">
        <f>IFERROR(VLOOKUP($A432,'Consolidate List'!$A$2:$P$1048576,17,FALSE),"")</f>
        <v/>
      </c>
    </row>
    <row r="433" spans="1:11" x14ac:dyDescent="0.35">
      <c r="A433" t="str">
        <f>IFERROR(Tableau1[[#This Row],[ID Unique]],"")</f>
        <v/>
      </c>
      <c r="B433" t="str">
        <f>IFERROR(VLOOKUP($A433,'Consolidate List'!$A$2:$P$1048576,15,FALSE),"")</f>
        <v/>
      </c>
      <c r="C433" t="str">
        <f>IFERROR(VLOOKUP($A433,'Consolidate List'!$A$2:$P$1048576,16,FALSE),"")</f>
        <v/>
      </c>
      <c r="D433" t="str">
        <f>IFERROR(VLOOKUP($A433,'Consolidate List'!$A$2:$P$1048576,8,FALSE),"")</f>
        <v/>
      </c>
      <c r="F433" t="str">
        <f>IFERROR(VLOOKUP($A433,'Consolidate List'!$A$2:$P$1048576,12,FALSE),"")</f>
        <v/>
      </c>
      <c r="G433" t="str">
        <f>IFERROR(VLOOKUP($A433,'Consolidate List'!$A$2:$P$1048576,11,FALSE),"")</f>
        <v/>
      </c>
      <c r="H433" t="str">
        <f>IFERROR(VLOOKUP($A433,'Consolidate List'!$A$2:$P$1048576,9,FALSE),"")</f>
        <v/>
      </c>
      <c r="I433" t="str">
        <f>IFERROR(VLOOKUP($A433,'Consolidate List'!$A$2:$P$1048576,10,FALSE),"")</f>
        <v/>
      </c>
      <c r="J433" t="str">
        <f>IFERROR(_xlfn.CONCAT((VLOOKUP($A433,'Consolidate List'!$A$2:$P$1048576,5,FALSE)),", ",VLOOKUP($A433,'Consolidate List'!$A$2:$P$1048576,6,FALSE)),"")</f>
        <v/>
      </c>
      <c r="K433" t="str">
        <f>IFERROR(VLOOKUP($A433,'Consolidate List'!$A$2:$P$1048576,17,FALSE),"")</f>
        <v/>
      </c>
    </row>
    <row r="434" spans="1:11" x14ac:dyDescent="0.35">
      <c r="A434" t="str">
        <f>IFERROR(Tableau1[[#This Row],[ID Unique]],"")</f>
        <v/>
      </c>
      <c r="B434" t="str">
        <f>IFERROR(VLOOKUP($A434,'Consolidate List'!$A$2:$P$1048576,15,FALSE),"")</f>
        <v/>
      </c>
      <c r="C434" t="str">
        <f>IFERROR(VLOOKUP($A434,'Consolidate List'!$A$2:$P$1048576,16,FALSE),"")</f>
        <v/>
      </c>
      <c r="D434" t="str">
        <f>IFERROR(VLOOKUP($A434,'Consolidate List'!$A$2:$P$1048576,8,FALSE),"")</f>
        <v/>
      </c>
      <c r="F434" t="str">
        <f>IFERROR(VLOOKUP($A434,'Consolidate List'!$A$2:$P$1048576,12,FALSE),"")</f>
        <v/>
      </c>
      <c r="G434" t="str">
        <f>IFERROR(VLOOKUP($A434,'Consolidate List'!$A$2:$P$1048576,11,FALSE),"")</f>
        <v/>
      </c>
      <c r="H434" t="str">
        <f>IFERROR(VLOOKUP($A434,'Consolidate List'!$A$2:$P$1048576,9,FALSE),"")</f>
        <v/>
      </c>
      <c r="I434" t="str">
        <f>IFERROR(VLOOKUP($A434,'Consolidate List'!$A$2:$P$1048576,10,FALSE),"")</f>
        <v/>
      </c>
      <c r="J434" t="str">
        <f>IFERROR(_xlfn.CONCAT((VLOOKUP($A434,'Consolidate List'!$A$2:$P$1048576,5,FALSE)),", ",VLOOKUP($A434,'Consolidate List'!$A$2:$P$1048576,6,FALSE)),"")</f>
        <v/>
      </c>
      <c r="K434" t="str">
        <f>IFERROR(VLOOKUP($A434,'Consolidate List'!$A$2:$P$1048576,17,FALSE),"")</f>
        <v/>
      </c>
    </row>
    <row r="435" spans="1:11" x14ac:dyDescent="0.35">
      <c r="A435" t="str">
        <f>IFERROR(Tableau1[[#This Row],[ID Unique]],"")</f>
        <v/>
      </c>
      <c r="B435" t="str">
        <f>IFERROR(VLOOKUP($A435,'Consolidate List'!$A$2:$P$1048576,15,FALSE),"")</f>
        <v/>
      </c>
      <c r="C435" t="str">
        <f>IFERROR(VLOOKUP($A435,'Consolidate List'!$A$2:$P$1048576,16,FALSE),"")</f>
        <v/>
      </c>
      <c r="D435" t="str">
        <f>IFERROR(VLOOKUP($A435,'Consolidate List'!$A$2:$P$1048576,8,FALSE),"")</f>
        <v/>
      </c>
      <c r="F435" t="str">
        <f>IFERROR(VLOOKUP($A435,'Consolidate List'!$A$2:$P$1048576,12,FALSE),"")</f>
        <v/>
      </c>
      <c r="G435" t="str">
        <f>IFERROR(VLOOKUP($A435,'Consolidate List'!$A$2:$P$1048576,11,FALSE),"")</f>
        <v/>
      </c>
      <c r="H435" t="str">
        <f>IFERROR(VLOOKUP($A435,'Consolidate List'!$A$2:$P$1048576,9,FALSE),"")</f>
        <v/>
      </c>
      <c r="I435" t="str">
        <f>IFERROR(VLOOKUP($A435,'Consolidate List'!$A$2:$P$1048576,10,FALSE),"")</f>
        <v/>
      </c>
      <c r="J435" t="str">
        <f>IFERROR(_xlfn.CONCAT((VLOOKUP($A435,'Consolidate List'!$A$2:$P$1048576,5,FALSE)),", ",VLOOKUP($A435,'Consolidate List'!$A$2:$P$1048576,6,FALSE)),"")</f>
        <v/>
      </c>
      <c r="K435" t="str">
        <f>IFERROR(VLOOKUP($A435,'Consolidate List'!$A$2:$P$1048576,17,FALSE),"")</f>
        <v/>
      </c>
    </row>
    <row r="436" spans="1:11" x14ac:dyDescent="0.35">
      <c r="A436" t="str">
        <f>IFERROR(Tableau1[[#This Row],[ID Unique]],"")</f>
        <v/>
      </c>
      <c r="B436" t="str">
        <f>IFERROR(VLOOKUP($A436,'Consolidate List'!$A$2:$P$1048576,15,FALSE),"")</f>
        <v/>
      </c>
      <c r="C436" t="str">
        <f>IFERROR(VLOOKUP($A436,'Consolidate List'!$A$2:$P$1048576,16,FALSE),"")</f>
        <v/>
      </c>
      <c r="D436" t="str">
        <f>IFERROR(VLOOKUP($A436,'Consolidate List'!$A$2:$P$1048576,8,FALSE),"")</f>
        <v/>
      </c>
      <c r="F436" t="str">
        <f>IFERROR(VLOOKUP($A436,'Consolidate List'!$A$2:$P$1048576,12,FALSE),"")</f>
        <v/>
      </c>
      <c r="G436" t="str">
        <f>IFERROR(VLOOKUP($A436,'Consolidate List'!$A$2:$P$1048576,11,FALSE),"")</f>
        <v/>
      </c>
      <c r="H436" t="str">
        <f>IFERROR(VLOOKUP($A436,'Consolidate List'!$A$2:$P$1048576,9,FALSE),"")</f>
        <v/>
      </c>
      <c r="I436" t="str">
        <f>IFERROR(VLOOKUP($A436,'Consolidate List'!$A$2:$P$1048576,10,FALSE),"")</f>
        <v/>
      </c>
      <c r="J436" t="str">
        <f>IFERROR(_xlfn.CONCAT((VLOOKUP($A436,'Consolidate List'!$A$2:$P$1048576,5,FALSE)),", ",VLOOKUP($A436,'Consolidate List'!$A$2:$P$1048576,6,FALSE)),"")</f>
        <v/>
      </c>
      <c r="K436" t="str">
        <f>IFERROR(VLOOKUP($A436,'Consolidate List'!$A$2:$P$1048576,17,FALSE),"")</f>
        <v/>
      </c>
    </row>
    <row r="437" spans="1:11" x14ac:dyDescent="0.35">
      <c r="A437" t="str">
        <f>IFERROR(Tableau1[[#This Row],[ID Unique]],"")</f>
        <v/>
      </c>
      <c r="B437" t="str">
        <f>IFERROR(VLOOKUP($A437,'Consolidate List'!$A$2:$P$1048576,15,FALSE),"")</f>
        <v/>
      </c>
      <c r="C437" t="str">
        <f>IFERROR(VLOOKUP($A437,'Consolidate List'!$A$2:$P$1048576,16,FALSE),"")</f>
        <v/>
      </c>
      <c r="D437" t="str">
        <f>IFERROR(VLOOKUP($A437,'Consolidate List'!$A$2:$P$1048576,8,FALSE),"")</f>
        <v/>
      </c>
      <c r="F437" t="str">
        <f>IFERROR(VLOOKUP($A437,'Consolidate List'!$A$2:$P$1048576,12,FALSE),"")</f>
        <v/>
      </c>
      <c r="G437" t="str">
        <f>IFERROR(VLOOKUP($A437,'Consolidate List'!$A$2:$P$1048576,11,FALSE),"")</f>
        <v/>
      </c>
      <c r="H437" t="str">
        <f>IFERROR(VLOOKUP($A437,'Consolidate List'!$A$2:$P$1048576,9,FALSE),"")</f>
        <v/>
      </c>
      <c r="I437" t="str">
        <f>IFERROR(VLOOKUP($A437,'Consolidate List'!$A$2:$P$1048576,10,FALSE),"")</f>
        <v/>
      </c>
      <c r="J437" t="str">
        <f>IFERROR(_xlfn.CONCAT((VLOOKUP($A437,'Consolidate List'!$A$2:$P$1048576,5,FALSE)),", ",VLOOKUP($A437,'Consolidate List'!$A$2:$P$1048576,6,FALSE)),"")</f>
        <v/>
      </c>
      <c r="K437" t="str">
        <f>IFERROR(VLOOKUP($A437,'Consolidate List'!$A$2:$P$1048576,17,FALSE),"")</f>
        <v/>
      </c>
    </row>
    <row r="438" spans="1:11" x14ac:dyDescent="0.35">
      <c r="A438" t="str">
        <f>IFERROR(Tableau1[[#This Row],[ID Unique]],"")</f>
        <v/>
      </c>
      <c r="B438" t="str">
        <f>IFERROR(VLOOKUP($A438,'Consolidate List'!$A$2:$P$1048576,15,FALSE),"")</f>
        <v/>
      </c>
      <c r="C438" t="str">
        <f>IFERROR(VLOOKUP($A438,'Consolidate List'!$A$2:$P$1048576,16,FALSE),"")</f>
        <v/>
      </c>
      <c r="D438" t="str">
        <f>IFERROR(VLOOKUP($A438,'Consolidate List'!$A$2:$P$1048576,8,FALSE),"")</f>
        <v/>
      </c>
      <c r="F438" t="str">
        <f>IFERROR(VLOOKUP($A438,'Consolidate List'!$A$2:$P$1048576,12,FALSE),"")</f>
        <v/>
      </c>
      <c r="G438" t="str">
        <f>IFERROR(VLOOKUP($A438,'Consolidate List'!$A$2:$P$1048576,11,FALSE),"")</f>
        <v/>
      </c>
      <c r="H438" t="str">
        <f>IFERROR(VLOOKUP($A438,'Consolidate List'!$A$2:$P$1048576,9,FALSE),"")</f>
        <v/>
      </c>
      <c r="I438" t="str">
        <f>IFERROR(VLOOKUP($A438,'Consolidate List'!$A$2:$P$1048576,10,FALSE),"")</f>
        <v/>
      </c>
      <c r="J438" t="str">
        <f>IFERROR(_xlfn.CONCAT((VLOOKUP($A438,'Consolidate List'!$A$2:$P$1048576,5,FALSE)),", ",VLOOKUP($A438,'Consolidate List'!$A$2:$P$1048576,6,FALSE)),"")</f>
        <v/>
      </c>
      <c r="K438" t="str">
        <f>IFERROR(VLOOKUP($A438,'Consolidate List'!$A$2:$P$1048576,17,FALSE),"")</f>
        <v/>
      </c>
    </row>
    <row r="439" spans="1:11" x14ac:dyDescent="0.35">
      <c r="A439" t="str">
        <f>IFERROR(Tableau1[[#This Row],[ID Unique]],"")</f>
        <v/>
      </c>
      <c r="B439" t="str">
        <f>IFERROR(VLOOKUP($A439,'Consolidate List'!$A$2:$P$1048576,15,FALSE),"")</f>
        <v/>
      </c>
      <c r="C439" t="str">
        <f>IFERROR(VLOOKUP($A439,'Consolidate List'!$A$2:$P$1048576,16,FALSE),"")</f>
        <v/>
      </c>
      <c r="D439" t="str">
        <f>IFERROR(VLOOKUP($A439,'Consolidate List'!$A$2:$P$1048576,8,FALSE),"")</f>
        <v/>
      </c>
      <c r="F439" t="str">
        <f>IFERROR(VLOOKUP($A439,'Consolidate List'!$A$2:$P$1048576,12,FALSE),"")</f>
        <v/>
      </c>
      <c r="G439" t="str">
        <f>IFERROR(VLOOKUP($A439,'Consolidate List'!$A$2:$P$1048576,11,FALSE),"")</f>
        <v/>
      </c>
      <c r="H439" t="str">
        <f>IFERROR(VLOOKUP($A439,'Consolidate List'!$A$2:$P$1048576,9,FALSE),"")</f>
        <v/>
      </c>
      <c r="I439" t="str">
        <f>IFERROR(VLOOKUP($A439,'Consolidate List'!$A$2:$P$1048576,10,FALSE),"")</f>
        <v/>
      </c>
      <c r="J439" t="str">
        <f>IFERROR(_xlfn.CONCAT((VLOOKUP($A439,'Consolidate List'!$A$2:$P$1048576,5,FALSE)),", ",VLOOKUP($A439,'Consolidate List'!$A$2:$P$1048576,6,FALSE)),"")</f>
        <v/>
      </c>
      <c r="K439" t="str">
        <f>IFERROR(VLOOKUP($A439,'Consolidate List'!$A$2:$P$1048576,17,FALSE),"")</f>
        <v/>
      </c>
    </row>
    <row r="440" spans="1:11" x14ac:dyDescent="0.35">
      <c r="A440" t="str">
        <f>IFERROR(Tableau1[[#This Row],[ID Unique]],"")</f>
        <v/>
      </c>
      <c r="B440" t="str">
        <f>IFERROR(VLOOKUP($A440,'Consolidate List'!$A$2:$P$1048576,15,FALSE),"")</f>
        <v/>
      </c>
      <c r="C440" t="str">
        <f>IFERROR(VLOOKUP($A440,'Consolidate List'!$A$2:$P$1048576,16,FALSE),"")</f>
        <v/>
      </c>
      <c r="D440" t="str">
        <f>IFERROR(VLOOKUP($A440,'Consolidate List'!$A$2:$P$1048576,8,FALSE),"")</f>
        <v/>
      </c>
      <c r="F440" t="str">
        <f>IFERROR(VLOOKUP($A440,'Consolidate List'!$A$2:$P$1048576,12,FALSE),"")</f>
        <v/>
      </c>
      <c r="G440" t="str">
        <f>IFERROR(VLOOKUP($A440,'Consolidate List'!$A$2:$P$1048576,11,FALSE),"")</f>
        <v/>
      </c>
      <c r="H440" t="str">
        <f>IFERROR(VLOOKUP($A440,'Consolidate List'!$A$2:$P$1048576,9,FALSE),"")</f>
        <v/>
      </c>
      <c r="I440" t="str">
        <f>IFERROR(VLOOKUP($A440,'Consolidate List'!$A$2:$P$1048576,10,FALSE),"")</f>
        <v/>
      </c>
      <c r="J440" t="str">
        <f>IFERROR(_xlfn.CONCAT((VLOOKUP($A440,'Consolidate List'!$A$2:$P$1048576,5,FALSE)),", ",VLOOKUP($A440,'Consolidate List'!$A$2:$P$1048576,6,FALSE)),"")</f>
        <v/>
      </c>
      <c r="K440" t="str">
        <f>IFERROR(VLOOKUP($A440,'Consolidate List'!$A$2:$P$1048576,17,FALSE),"")</f>
        <v/>
      </c>
    </row>
    <row r="441" spans="1:11" x14ac:dyDescent="0.35">
      <c r="A441" t="str">
        <f>IFERROR(Tableau1[[#This Row],[ID Unique]],"")</f>
        <v/>
      </c>
      <c r="B441" t="str">
        <f>IFERROR(VLOOKUP($A441,'Consolidate List'!$A$2:$P$1048576,15,FALSE),"")</f>
        <v/>
      </c>
      <c r="C441" t="str">
        <f>IFERROR(VLOOKUP($A441,'Consolidate List'!$A$2:$P$1048576,16,FALSE),"")</f>
        <v/>
      </c>
      <c r="D441" t="str">
        <f>IFERROR(VLOOKUP($A441,'Consolidate List'!$A$2:$P$1048576,8,FALSE),"")</f>
        <v/>
      </c>
      <c r="F441" t="str">
        <f>IFERROR(VLOOKUP($A441,'Consolidate List'!$A$2:$P$1048576,12,FALSE),"")</f>
        <v/>
      </c>
      <c r="G441" t="str">
        <f>IFERROR(VLOOKUP($A441,'Consolidate List'!$A$2:$P$1048576,11,FALSE),"")</f>
        <v/>
      </c>
      <c r="H441" t="str">
        <f>IFERROR(VLOOKUP($A441,'Consolidate List'!$A$2:$P$1048576,9,FALSE),"")</f>
        <v/>
      </c>
      <c r="I441" t="str">
        <f>IFERROR(VLOOKUP($A441,'Consolidate List'!$A$2:$P$1048576,10,FALSE),"")</f>
        <v/>
      </c>
      <c r="J441" t="str">
        <f>IFERROR(_xlfn.CONCAT((VLOOKUP($A441,'Consolidate List'!$A$2:$P$1048576,5,FALSE)),", ",VLOOKUP($A441,'Consolidate List'!$A$2:$P$1048576,6,FALSE)),"")</f>
        <v/>
      </c>
      <c r="K441" t="str">
        <f>IFERROR(VLOOKUP($A441,'Consolidate List'!$A$2:$P$1048576,17,FALSE),"")</f>
        <v/>
      </c>
    </row>
    <row r="442" spans="1:11" x14ac:dyDescent="0.35">
      <c r="A442" t="str">
        <f>IFERROR(Tableau1[[#This Row],[ID Unique]],"")</f>
        <v/>
      </c>
      <c r="B442" t="str">
        <f>IFERROR(VLOOKUP($A442,'Consolidate List'!$A$2:$P$1048576,15,FALSE),"")</f>
        <v/>
      </c>
      <c r="C442" t="str">
        <f>IFERROR(VLOOKUP($A442,'Consolidate List'!$A$2:$P$1048576,16,FALSE),"")</f>
        <v/>
      </c>
      <c r="D442" t="str">
        <f>IFERROR(VLOOKUP($A442,'Consolidate List'!$A$2:$P$1048576,8,FALSE),"")</f>
        <v/>
      </c>
      <c r="F442" t="str">
        <f>IFERROR(VLOOKUP($A442,'Consolidate List'!$A$2:$P$1048576,12,FALSE),"")</f>
        <v/>
      </c>
      <c r="G442" t="str">
        <f>IFERROR(VLOOKUP($A442,'Consolidate List'!$A$2:$P$1048576,11,FALSE),"")</f>
        <v/>
      </c>
      <c r="H442" t="str">
        <f>IFERROR(VLOOKUP($A442,'Consolidate List'!$A$2:$P$1048576,9,FALSE),"")</f>
        <v/>
      </c>
      <c r="I442" t="str">
        <f>IFERROR(VLOOKUP($A442,'Consolidate List'!$A$2:$P$1048576,10,FALSE),"")</f>
        <v/>
      </c>
      <c r="J442" t="str">
        <f>IFERROR(_xlfn.CONCAT((VLOOKUP($A442,'Consolidate List'!$A$2:$P$1048576,5,FALSE)),", ",VLOOKUP($A442,'Consolidate List'!$A$2:$P$1048576,6,FALSE)),"")</f>
        <v/>
      </c>
      <c r="K442" t="str">
        <f>IFERROR(VLOOKUP($A442,'Consolidate List'!$A$2:$P$1048576,17,FALSE),"")</f>
        <v/>
      </c>
    </row>
    <row r="443" spans="1:11" x14ac:dyDescent="0.35">
      <c r="A443" t="str">
        <f>IFERROR(Tableau1[[#This Row],[ID Unique]],"")</f>
        <v/>
      </c>
      <c r="B443" t="str">
        <f>IFERROR(VLOOKUP($A443,'Consolidate List'!$A$2:$P$1048576,15,FALSE),"")</f>
        <v/>
      </c>
      <c r="C443" t="str">
        <f>IFERROR(VLOOKUP($A443,'Consolidate List'!$A$2:$P$1048576,16,FALSE),"")</f>
        <v/>
      </c>
      <c r="D443" t="str">
        <f>IFERROR(VLOOKUP($A443,'Consolidate List'!$A$2:$P$1048576,8,FALSE),"")</f>
        <v/>
      </c>
      <c r="F443" t="str">
        <f>IFERROR(VLOOKUP($A443,'Consolidate List'!$A$2:$P$1048576,12,FALSE),"")</f>
        <v/>
      </c>
      <c r="G443" t="str">
        <f>IFERROR(VLOOKUP($A443,'Consolidate List'!$A$2:$P$1048576,11,FALSE),"")</f>
        <v/>
      </c>
      <c r="H443" t="str">
        <f>IFERROR(VLOOKUP($A443,'Consolidate List'!$A$2:$P$1048576,9,FALSE),"")</f>
        <v/>
      </c>
      <c r="I443" t="str">
        <f>IFERROR(VLOOKUP($A443,'Consolidate List'!$A$2:$P$1048576,10,FALSE),"")</f>
        <v/>
      </c>
      <c r="J443" t="str">
        <f>IFERROR(_xlfn.CONCAT((VLOOKUP($A443,'Consolidate List'!$A$2:$P$1048576,5,FALSE)),", ",VLOOKUP($A443,'Consolidate List'!$A$2:$P$1048576,6,FALSE)),"")</f>
        <v/>
      </c>
      <c r="K443" t="str">
        <f>IFERROR(VLOOKUP($A443,'Consolidate List'!$A$2:$P$1048576,17,FALSE),"")</f>
        <v/>
      </c>
    </row>
    <row r="444" spans="1:11" x14ac:dyDescent="0.35">
      <c r="A444" t="str">
        <f>IFERROR(Tableau1[[#This Row],[ID Unique]],"")</f>
        <v/>
      </c>
      <c r="B444" t="str">
        <f>IFERROR(VLOOKUP($A444,'Consolidate List'!$A$2:$P$1048576,15,FALSE),"")</f>
        <v/>
      </c>
      <c r="C444" t="str">
        <f>IFERROR(VLOOKUP($A444,'Consolidate List'!$A$2:$P$1048576,16,FALSE),"")</f>
        <v/>
      </c>
      <c r="D444" t="str">
        <f>IFERROR(VLOOKUP($A444,'Consolidate List'!$A$2:$P$1048576,8,FALSE),"")</f>
        <v/>
      </c>
      <c r="F444" t="str">
        <f>IFERROR(VLOOKUP($A444,'Consolidate List'!$A$2:$P$1048576,12,FALSE),"")</f>
        <v/>
      </c>
      <c r="G444" t="str">
        <f>IFERROR(VLOOKUP($A444,'Consolidate List'!$A$2:$P$1048576,11,FALSE),"")</f>
        <v/>
      </c>
      <c r="H444" t="str">
        <f>IFERROR(VLOOKUP($A444,'Consolidate List'!$A$2:$P$1048576,9,FALSE),"")</f>
        <v/>
      </c>
      <c r="I444" t="str">
        <f>IFERROR(VLOOKUP($A444,'Consolidate List'!$A$2:$P$1048576,10,FALSE),"")</f>
        <v/>
      </c>
      <c r="J444" t="str">
        <f>IFERROR(_xlfn.CONCAT((VLOOKUP($A444,'Consolidate List'!$A$2:$P$1048576,5,FALSE)),", ",VLOOKUP($A444,'Consolidate List'!$A$2:$P$1048576,6,FALSE)),"")</f>
        <v/>
      </c>
      <c r="K444" t="str">
        <f>IFERROR(VLOOKUP($A444,'Consolidate List'!$A$2:$P$1048576,17,FALSE),"")</f>
        <v/>
      </c>
    </row>
    <row r="445" spans="1:11" x14ac:dyDescent="0.35">
      <c r="A445" t="str">
        <f>IFERROR(Tableau1[[#This Row],[ID Unique]],"")</f>
        <v/>
      </c>
      <c r="B445" t="str">
        <f>IFERROR(VLOOKUP($A445,'Consolidate List'!$A$2:$P$1048576,15,FALSE),"")</f>
        <v/>
      </c>
      <c r="C445" t="str">
        <f>IFERROR(VLOOKUP($A445,'Consolidate List'!$A$2:$P$1048576,16,FALSE),"")</f>
        <v/>
      </c>
      <c r="D445" t="str">
        <f>IFERROR(VLOOKUP($A445,'Consolidate List'!$A$2:$P$1048576,8,FALSE),"")</f>
        <v/>
      </c>
      <c r="F445" t="str">
        <f>IFERROR(VLOOKUP($A445,'Consolidate List'!$A$2:$P$1048576,12,FALSE),"")</f>
        <v/>
      </c>
      <c r="G445" t="str">
        <f>IFERROR(VLOOKUP($A445,'Consolidate List'!$A$2:$P$1048576,11,FALSE),"")</f>
        <v/>
      </c>
      <c r="H445" t="str">
        <f>IFERROR(VLOOKUP($A445,'Consolidate List'!$A$2:$P$1048576,9,FALSE),"")</f>
        <v/>
      </c>
      <c r="I445" t="str">
        <f>IFERROR(VLOOKUP($A445,'Consolidate List'!$A$2:$P$1048576,10,FALSE),"")</f>
        <v/>
      </c>
      <c r="J445" t="str">
        <f>IFERROR(_xlfn.CONCAT((VLOOKUP($A445,'Consolidate List'!$A$2:$P$1048576,5,FALSE)),", ",VLOOKUP($A445,'Consolidate List'!$A$2:$P$1048576,6,FALSE)),"")</f>
        <v/>
      </c>
      <c r="K445" t="str">
        <f>IFERROR(VLOOKUP($A445,'Consolidate List'!$A$2:$P$1048576,17,FALSE),"")</f>
        <v/>
      </c>
    </row>
    <row r="446" spans="1:11" x14ac:dyDescent="0.35">
      <c r="A446" t="str">
        <f>IFERROR(Tableau1[[#This Row],[ID Unique]],"")</f>
        <v/>
      </c>
      <c r="B446" t="str">
        <f>IFERROR(VLOOKUP($A446,'Consolidate List'!$A$2:$P$1048576,15,FALSE),"")</f>
        <v/>
      </c>
      <c r="C446" t="str">
        <f>IFERROR(VLOOKUP($A446,'Consolidate List'!$A$2:$P$1048576,16,FALSE),"")</f>
        <v/>
      </c>
      <c r="D446" t="str">
        <f>IFERROR(VLOOKUP($A446,'Consolidate List'!$A$2:$P$1048576,8,FALSE),"")</f>
        <v/>
      </c>
      <c r="F446" t="str">
        <f>IFERROR(VLOOKUP($A446,'Consolidate List'!$A$2:$P$1048576,12,FALSE),"")</f>
        <v/>
      </c>
      <c r="G446" t="str">
        <f>IFERROR(VLOOKUP($A446,'Consolidate List'!$A$2:$P$1048576,11,FALSE),"")</f>
        <v/>
      </c>
      <c r="H446" t="str">
        <f>IFERROR(VLOOKUP($A446,'Consolidate List'!$A$2:$P$1048576,9,FALSE),"")</f>
        <v/>
      </c>
      <c r="I446" t="str">
        <f>IFERROR(VLOOKUP($A446,'Consolidate List'!$A$2:$P$1048576,10,FALSE),"")</f>
        <v/>
      </c>
      <c r="J446" t="str">
        <f>IFERROR(_xlfn.CONCAT((VLOOKUP($A446,'Consolidate List'!$A$2:$P$1048576,5,FALSE)),", ",VLOOKUP($A446,'Consolidate List'!$A$2:$P$1048576,6,FALSE)),"")</f>
        <v/>
      </c>
      <c r="K446" t="str">
        <f>IFERROR(VLOOKUP($A446,'Consolidate List'!$A$2:$P$1048576,17,FALSE),"")</f>
        <v/>
      </c>
    </row>
    <row r="447" spans="1:11" x14ac:dyDescent="0.35">
      <c r="A447" t="str">
        <f>IFERROR(Tableau1[[#This Row],[ID Unique]],"")</f>
        <v/>
      </c>
      <c r="B447" t="str">
        <f>IFERROR(VLOOKUP($A447,'Consolidate List'!$A$2:$P$1048576,15,FALSE),"")</f>
        <v/>
      </c>
      <c r="C447" t="str">
        <f>IFERROR(VLOOKUP($A447,'Consolidate List'!$A$2:$P$1048576,16,FALSE),"")</f>
        <v/>
      </c>
      <c r="D447" t="str">
        <f>IFERROR(VLOOKUP($A447,'Consolidate List'!$A$2:$P$1048576,8,FALSE),"")</f>
        <v/>
      </c>
      <c r="F447" t="str">
        <f>IFERROR(VLOOKUP($A447,'Consolidate List'!$A$2:$P$1048576,12,FALSE),"")</f>
        <v/>
      </c>
      <c r="G447" t="str">
        <f>IFERROR(VLOOKUP($A447,'Consolidate List'!$A$2:$P$1048576,11,FALSE),"")</f>
        <v/>
      </c>
      <c r="H447" t="str">
        <f>IFERROR(VLOOKUP($A447,'Consolidate List'!$A$2:$P$1048576,9,FALSE),"")</f>
        <v/>
      </c>
      <c r="I447" t="str">
        <f>IFERROR(VLOOKUP($A447,'Consolidate List'!$A$2:$P$1048576,10,FALSE),"")</f>
        <v/>
      </c>
      <c r="J447" t="str">
        <f>IFERROR(_xlfn.CONCAT((VLOOKUP($A447,'Consolidate List'!$A$2:$P$1048576,5,FALSE)),", ",VLOOKUP($A447,'Consolidate List'!$A$2:$P$1048576,6,FALSE)),"")</f>
        <v/>
      </c>
      <c r="K447" t="str">
        <f>IFERROR(VLOOKUP($A447,'Consolidate List'!$A$2:$P$1048576,17,FALSE),"")</f>
        <v/>
      </c>
    </row>
    <row r="448" spans="1:11" x14ac:dyDescent="0.35">
      <c r="A448" t="str">
        <f>IFERROR(Tableau1[[#This Row],[ID Unique]],"")</f>
        <v/>
      </c>
      <c r="B448" t="str">
        <f>IFERROR(VLOOKUP($A448,'Consolidate List'!$A$2:$P$1048576,15,FALSE),"")</f>
        <v/>
      </c>
      <c r="C448" t="str">
        <f>IFERROR(VLOOKUP($A448,'Consolidate List'!$A$2:$P$1048576,16,FALSE),"")</f>
        <v/>
      </c>
      <c r="D448" t="str">
        <f>IFERROR(VLOOKUP($A448,'Consolidate List'!$A$2:$P$1048576,8,FALSE),"")</f>
        <v/>
      </c>
      <c r="F448" t="str">
        <f>IFERROR(VLOOKUP($A448,'Consolidate List'!$A$2:$P$1048576,12,FALSE),"")</f>
        <v/>
      </c>
      <c r="G448" t="str">
        <f>IFERROR(VLOOKUP($A448,'Consolidate List'!$A$2:$P$1048576,11,FALSE),"")</f>
        <v/>
      </c>
      <c r="H448" t="str">
        <f>IFERROR(VLOOKUP($A448,'Consolidate List'!$A$2:$P$1048576,9,FALSE),"")</f>
        <v/>
      </c>
      <c r="I448" t="str">
        <f>IFERROR(VLOOKUP($A448,'Consolidate List'!$A$2:$P$1048576,10,FALSE),"")</f>
        <v/>
      </c>
      <c r="J448" t="str">
        <f>IFERROR(_xlfn.CONCAT((VLOOKUP($A448,'Consolidate List'!$A$2:$P$1048576,5,FALSE)),", ",VLOOKUP($A448,'Consolidate List'!$A$2:$P$1048576,6,FALSE)),"")</f>
        <v/>
      </c>
      <c r="K448" t="str">
        <f>IFERROR(VLOOKUP($A448,'Consolidate List'!$A$2:$P$1048576,17,FALSE),"")</f>
        <v/>
      </c>
    </row>
    <row r="449" spans="1:11" x14ac:dyDescent="0.35">
      <c r="A449" t="str">
        <f>IFERROR(Tableau1[[#This Row],[ID Unique]],"")</f>
        <v/>
      </c>
      <c r="B449" t="str">
        <f>IFERROR(VLOOKUP($A449,'Consolidate List'!$A$2:$P$1048576,15,FALSE),"")</f>
        <v/>
      </c>
      <c r="C449" t="str">
        <f>IFERROR(VLOOKUP($A449,'Consolidate List'!$A$2:$P$1048576,16,FALSE),"")</f>
        <v/>
      </c>
      <c r="D449" t="str">
        <f>IFERROR(VLOOKUP($A449,'Consolidate List'!$A$2:$P$1048576,8,FALSE),"")</f>
        <v/>
      </c>
      <c r="F449" t="str">
        <f>IFERROR(VLOOKUP($A449,'Consolidate List'!$A$2:$P$1048576,12,FALSE),"")</f>
        <v/>
      </c>
      <c r="G449" t="str">
        <f>IFERROR(VLOOKUP($A449,'Consolidate List'!$A$2:$P$1048576,11,FALSE),"")</f>
        <v/>
      </c>
      <c r="H449" t="str">
        <f>IFERROR(VLOOKUP($A449,'Consolidate List'!$A$2:$P$1048576,9,FALSE),"")</f>
        <v/>
      </c>
      <c r="I449" t="str">
        <f>IFERROR(VLOOKUP($A449,'Consolidate List'!$A$2:$P$1048576,10,FALSE),"")</f>
        <v/>
      </c>
      <c r="J449" t="str">
        <f>IFERROR(_xlfn.CONCAT((VLOOKUP($A449,'Consolidate List'!$A$2:$P$1048576,5,FALSE)),", ",VLOOKUP($A449,'Consolidate List'!$A$2:$P$1048576,6,FALSE)),"")</f>
        <v/>
      </c>
      <c r="K449" t="str">
        <f>IFERROR(VLOOKUP($A449,'Consolidate List'!$A$2:$P$1048576,17,FALSE),"")</f>
        <v/>
      </c>
    </row>
    <row r="450" spans="1:11" x14ac:dyDescent="0.35">
      <c r="A450" t="str">
        <f>IFERROR(Tableau1[[#This Row],[ID Unique]],"")</f>
        <v/>
      </c>
      <c r="B450" t="str">
        <f>IFERROR(VLOOKUP($A450,'Consolidate List'!$A$2:$P$1048576,15,FALSE),"")</f>
        <v/>
      </c>
      <c r="C450" t="str">
        <f>IFERROR(VLOOKUP($A450,'Consolidate List'!$A$2:$P$1048576,16,FALSE),"")</f>
        <v/>
      </c>
      <c r="D450" t="str">
        <f>IFERROR(VLOOKUP($A450,'Consolidate List'!$A$2:$P$1048576,8,FALSE),"")</f>
        <v/>
      </c>
      <c r="F450" t="str">
        <f>IFERROR(VLOOKUP($A450,'Consolidate List'!$A$2:$P$1048576,12,FALSE),"")</f>
        <v/>
      </c>
      <c r="G450" t="str">
        <f>IFERROR(VLOOKUP($A450,'Consolidate List'!$A$2:$P$1048576,11,FALSE),"")</f>
        <v/>
      </c>
      <c r="H450" t="str">
        <f>IFERROR(VLOOKUP($A450,'Consolidate List'!$A$2:$P$1048576,9,FALSE),"")</f>
        <v/>
      </c>
      <c r="I450" t="str">
        <f>IFERROR(VLOOKUP($A450,'Consolidate List'!$A$2:$P$1048576,10,FALSE),"")</f>
        <v/>
      </c>
      <c r="J450" t="str">
        <f>IFERROR(_xlfn.CONCAT((VLOOKUP($A450,'Consolidate List'!$A$2:$P$1048576,5,FALSE)),", ",VLOOKUP($A450,'Consolidate List'!$A$2:$P$1048576,6,FALSE)),"")</f>
        <v/>
      </c>
      <c r="K450" t="str">
        <f>IFERROR(VLOOKUP($A450,'Consolidate List'!$A$2:$P$1048576,17,FALSE),"")</f>
        <v/>
      </c>
    </row>
    <row r="451" spans="1:11" x14ac:dyDescent="0.35">
      <c r="A451" t="str">
        <f>IFERROR(Tableau1[[#This Row],[ID Unique]],"")</f>
        <v/>
      </c>
      <c r="B451" t="str">
        <f>IFERROR(VLOOKUP($A451,'Consolidate List'!$A$2:$P$1048576,15,FALSE),"")</f>
        <v/>
      </c>
      <c r="C451" t="str">
        <f>IFERROR(VLOOKUP($A451,'Consolidate List'!$A$2:$P$1048576,16,FALSE),"")</f>
        <v/>
      </c>
      <c r="D451" t="str">
        <f>IFERROR(VLOOKUP($A451,'Consolidate List'!$A$2:$P$1048576,8,FALSE),"")</f>
        <v/>
      </c>
      <c r="F451" t="str">
        <f>IFERROR(VLOOKUP($A451,'Consolidate List'!$A$2:$P$1048576,12,FALSE),"")</f>
        <v/>
      </c>
      <c r="G451" t="str">
        <f>IFERROR(VLOOKUP($A451,'Consolidate List'!$A$2:$P$1048576,11,FALSE),"")</f>
        <v/>
      </c>
      <c r="H451" t="str">
        <f>IFERROR(VLOOKUP($A451,'Consolidate List'!$A$2:$P$1048576,9,FALSE),"")</f>
        <v/>
      </c>
      <c r="I451" t="str">
        <f>IFERROR(VLOOKUP($A451,'Consolidate List'!$A$2:$P$1048576,10,FALSE),"")</f>
        <v/>
      </c>
      <c r="J451" t="str">
        <f>IFERROR(_xlfn.CONCAT((VLOOKUP($A451,'Consolidate List'!$A$2:$P$1048576,5,FALSE)),", ",VLOOKUP($A451,'Consolidate List'!$A$2:$P$1048576,6,FALSE)),"")</f>
        <v/>
      </c>
      <c r="K451" t="str">
        <f>IFERROR(VLOOKUP($A451,'Consolidate List'!$A$2:$P$1048576,17,FALSE),"")</f>
        <v/>
      </c>
    </row>
    <row r="452" spans="1:11" x14ac:dyDescent="0.35">
      <c r="A452" t="str">
        <f>IFERROR(Tableau1[[#This Row],[ID Unique]],"")</f>
        <v/>
      </c>
      <c r="B452" t="str">
        <f>IFERROR(VLOOKUP($A452,'Consolidate List'!$A$2:$P$1048576,15,FALSE),"")</f>
        <v/>
      </c>
      <c r="C452" t="str">
        <f>IFERROR(VLOOKUP($A452,'Consolidate List'!$A$2:$P$1048576,16,FALSE),"")</f>
        <v/>
      </c>
      <c r="D452" t="str">
        <f>IFERROR(VLOOKUP($A452,'Consolidate List'!$A$2:$P$1048576,8,FALSE),"")</f>
        <v/>
      </c>
      <c r="F452" t="str">
        <f>IFERROR(VLOOKUP($A452,'Consolidate List'!$A$2:$P$1048576,12,FALSE),"")</f>
        <v/>
      </c>
      <c r="G452" t="str">
        <f>IFERROR(VLOOKUP($A452,'Consolidate List'!$A$2:$P$1048576,11,FALSE),"")</f>
        <v/>
      </c>
      <c r="H452" t="str">
        <f>IFERROR(VLOOKUP($A452,'Consolidate List'!$A$2:$P$1048576,9,FALSE),"")</f>
        <v/>
      </c>
      <c r="I452" t="str">
        <f>IFERROR(VLOOKUP($A452,'Consolidate List'!$A$2:$P$1048576,10,FALSE),"")</f>
        <v/>
      </c>
      <c r="J452" t="str">
        <f>IFERROR(_xlfn.CONCAT((VLOOKUP($A452,'Consolidate List'!$A$2:$P$1048576,5,FALSE)),", ",VLOOKUP($A452,'Consolidate List'!$A$2:$P$1048576,6,FALSE)),"")</f>
        <v/>
      </c>
      <c r="K452" t="str">
        <f>IFERROR(VLOOKUP($A452,'Consolidate List'!$A$2:$P$1048576,17,FALSE),"")</f>
        <v/>
      </c>
    </row>
    <row r="453" spans="1:11" x14ac:dyDescent="0.35">
      <c r="A453" t="str">
        <f>IFERROR(Tableau1[[#This Row],[ID Unique]],"")</f>
        <v/>
      </c>
      <c r="B453" t="str">
        <f>IFERROR(VLOOKUP($A453,'Consolidate List'!$A$2:$P$1048576,15,FALSE),"")</f>
        <v/>
      </c>
      <c r="C453" t="str">
        <f>IFERROR(VLOOKUP($A453,'Consolidate List'!$A$2:$P$1048576,16,FALSE),"")</f>
        <v/>
      </c>
      <c r="D453" t="str">
        <f>IFERROR(VLOOKUP($A453,'Consolidate List'!$A$2:$P$1048576,8,FALSE),"")</f>
        <v/>
      </c>
      <c r="F453" t="str">
        <f>IFERROR(VLOOKUP($A453,'Consolidate List'!$A$2:$P$1048576,12,FALSE),"")</f>
        <v/>
      </c>
      <c r="G453" t="str">
        <f>IFERROR(VLOOKUP($A453,'Consolidate List'!$A$2:$P$1048576,11,FALSE),"")</f>
        <v/>
      </c>
      <c r="H453" t="str">
        <f>IFERROR(VLOOKUP($A453,'Consolidate List'!$A$2:$P$1048576,9,FALSE),"")</f>
        <v/>
      </c>
      <c r="I453" t="str">
        <f>IFERROR(VLOOKUP($A453,'Consolidate List'!$A$2:$P$1048576,10,FALSE),"")</f>
        <v/>
      </c>
      <c r="J453" t="str">
        <f>IFERROR(_xlfn.CONCAT((VLOOKUP($A453,'Consolidate List'!$A$2:$P$1048576,5,FALSE)),", ",VLOOKUP($A453,'Consolidate List'!$A$2:$P$1048576,6,FALSE)),"")</f>
        <v/>
      </c>
      <c r="K453" t="str">
        <f>IFERROR(VLOOKUP($A453,'Consolidate List'!$A$2:$P$1048576,17,FALSE),"")</f>
        <v/>
      </c>
    </row>
    <row r="454" spans="1:11" x14ac:dyDescent="0.35">
      <c r="A454" t="str">
        <f>IFERROR(Tableau1[[#This Row],[ID Unique]],"")</f>
        <v/>
      </c>
      <c r="B454" t="str">
        <f>IFERROR(VLOOKUP($A454,'Consolidate List'!$A$2:$P$1048576,15,FALSE),"")</f>
        <v/>
      </c>
      <c r="C454" t="str">
        <f>IFERROR(VLOOKUP($A454,'Consolidate List'!$A$2:$P$1048576,16,FALSE),"")</f>
        <v/>
      </c>
      <c r="D454" t="str">
        <f>IFERROR(VLOOKUP($A454,'Consolidate List'!$A$2:$P$1048576,8,FALSE),"")</f>
        <v/>
      </c>
      <c r="F454" t="str">
        <f>IFERROR(VLOOKUP($A454,'Consolidate List'!$A$2:$P$1048576,12,FALSE),"")</f>
        <v/>
      </c>
      <c r="G454" t="str">
        <f>IFERROR(VLOOKUP($A454,'Consolidate List'!$A$2:$P$1048576,11,FALSE),"")</f>
        <v/>
      </c>
      <c r="H454" t="str">
        <f>IFERROR(VLOOKUP($A454,'Consolidate List'!$A$2:$P$1048576,9,FALSE),"")</f>
        <v/>
      </c>
      <c r="I454" t="str">
        <f>IFERROR(VLOOKUP($A454,'Consolidate List'!$A$2:$P$1048576,10,FALSE),"")</f>
        <v/>
      </c>
      <c r="J454" t="str">
        <f>IFERROR(_xlfn.CONCAT((VLOOKUP($A454,'Consolidate List'!$A$2:$P$1048576,5,FALSE)),", ",VLOOKUP($A454,'Consolidate List'!$A$2:$P$1048576,6,FALSE)),"")</f>
        <v/>
      </c>
      <c r="K454" t="str">
        <f>IFERROR(VLOOKUP($A454,'Consolidate List'!$A$2:$P$1048576,17,FALSE),"")</f>
        <v/>
      </c>
    </row>
    <row r="455" spans="1:11" x14ac:dyDescent="0.35">
      <c r="A455" t="str">
        <f>IFERROR(Tableau1[[#This Row],[ID Unique]],"")</f>
        <v/>
      </c>
      <c r="B455" t="str">
        <f>IFERROR(VLOOKUP($A455,'Consolidate List'!$A$2:$P$1048576,15,FALSE),"")</f>
        <v/>
      </c>
      <c r="C455" t="str">
        <f>IFERROR(VLOOKUP($A455,'Consolidate List'!$A$2:$P$1048576,16,FALSE),"")</f>
        <v/>
      </c>
      <c r="D455" t="str">
        <f>IFERROR(VLOOKUP($A455,'Consolidate List'!$A$2:$P$1048576,8,FALSE),"")</f>
        <v/>
      </c>
      <c r="F455" t="str">
        <f>IFERROR(VLOOKUP($A455,'Consolidate List'!$A$2:$P$1048576,12,FALSE),"")</f>
        <v/>
      </c>
      <c r="G455" t="str">
        <f>IFERROR(VLOOKUP($A455,'Consolidate List'!$A$2:$P$1048576,11,FALSE),"")</f>
        <v/>
      </c>
      <c r="H455" t="str">
        <f>IFERROR(VLOOKUP($A455,'Consolidate List'!$A$2:$P$1048576,9,FALSE),"")</f>
        <v/>
      </c>
      <c r="I455" t="str">
        <f>IFERROR(VLOOKUP($A455,'Consolidate List'!$A$2:$P$1048576,10,FALSE),"")</f>
        <v/>
      </c>
      <c r="J455" t="str">
        <f>IFERROR(_xlfn.CONCAT((VLOOKUP($A455,'Consolidate List'!$A$2:$P$1048576,5,FALSE)),", ",VLOOKUP($A455,'Consolidate List'!$A$2:$P$1048576,6,FALSE)),"")</f>
        <v/>
      </c>
      <c r="K455" t="str">
        <f>IFERROR(VLOOKUP($A455,'Consolidate List'!$A$2:$P$1048576,17,FALSE),"")</f>
        <v/>
      </c>
    </row>
    <row r="456" spans="1:11" x14ac:dyDescent="0.35">
      <c r="A456" t="str">
        <f>IFERROR(Tableau1[[#This Row],[ID Unique]],"")</f>
        <v/>
      </c>
      <c r="B456" t="str">
        <f>IFERROR(VLOOKUP($A456,'Consolidate List'!$A$2:$P$1048576,15,FALSE),"")</f>
        <v/>
      </c>
      <c r="C456" t="str">
        <f>IFERROR(VLOOKUP($A456,'Consolidate List'!$A$2:$P$1048576,16,FALSE),"")</f>
        <v/>
      </c>
      <c r="D456" t="str">
        <f>IFERROR(VLOOKUP($A456,'Consolidate List'!$A$2:$P$1048576,8,FALSE),"")</f>
        <v/>
      </c>
      <c r="F456" t="str">
        <f>IFERROR(VLOOKUP($A456,'Consolidate List'!$A$2:$P$1048576,12,FALSE),"")</f>
        <v/>
      </c>
      <c r="G456" t="str">
        <f>IFERROR(VLOOKUP($A456,'Consolidate List'!$A$2:$P$1048576,11,FALSE),"")</f>
        <v/>
      </c>
      <c r="H456" t="str">
        <f>IFERROR(VLOOKUP($A456,'Consolidate List'!$A$2:$P$1048576,9,FALSE),"")</f>
        <v/>
      </c>
      <c r="I456" t="str">
        <f>IFERROR(VLOOKUP($A456,'Consolidate List'!$A$2:$P$1048576,10,FALSE),"")</f>
        <v/>
      </c>
      <c r="J456" t="str">
        <f>IFERROR(_xlfn.CONCAT((VLOOKUP($A456,'Consolidate List'!$A$2:$P$1048576,5,FALSE)),", ",VLOOKUP($A456,'Consolidate List'!$A$2:$P$1048576,6,FALSE)),"")</f>
        <v/>
      </c>
      <c r="K456" t="str">
        <f>IFERROR(VLOOKUP($A456,'Consolidate List'!$A$2:$P$1048576,17,FALSE),"")</f>
        <v/>
      </c>
    </row>
    <row r="457" spans="1:11" x14ac:dyDescent="0.35">
      <c r="A457" t="str">
        <f>IFERROR(Tableau1[[#This Row],[ID Unique]],"")</f>
        <v/>
      </c>
      <c r="B457" t="str">
        <f>IFERROR(VLOOKUP($A457,'Consolidate List'!$A$2:$P$1048576,15,FALSE),"")</f>
        <v/>
      </c>
      <c r="C457" t="str">
        <f>IFERROR(VLOOKUP($A457,'Consolidate List'!$A$2:$P$1048576,16,FALSE),"")</f>
        <v/>
      </c>
      <c r="D457" t="str">
        <f>IFERROR(VLOOKUP($A457,'Consolidate List'!$A$2:$P$1048576,8,FALSE),"")</f>
        <v/>
      </c>
      <c r="F457" t="str">
        <f>IFERROR(VLOOKUP($A457,'Consolidate List'!$A$2:$P$1048576,12,FALSE),"")</f>
        <v/>
      </c>
      <c r="G457" t="str">
        <f>IFERROR(VLOOKUP($A457,'Consolidate List'!$A$2:$P$1048576,11,FALSE),"")</f>
        <v/>
      </c>
      <c r="H457" t="str">
        <f>IFERROR(VLOOKUP($A457,'Consolidate List'!$A$2:$P$1048576,9,FALSE),"")</f>
        <v/>
      </c>
      <c r="I457" t="str">
        <f>IFERROR(VLOOKUP($A457,'Consolidate List'!$A$2:$P$1048576,10,FALSE),"")</f>
        <v/>
      </c>
      <c r="J457" t="str">
        <f>IFERROR(_xlfn.CONCAT((VLOOKUP($A457,'Consolidate List'!$A$2:$P$1048576,5,FALSE)),", ",VLOOKUP($A457,'Consolidate List'!$A$2:$P$1048576,6,FALSE)),"")</f>
        <v/>
      </c>
      <c r="K457" t="str">
        <f>IFERROR(VLOOKUP($A457,'Consolidate List'!$A$2:$P$1048576,17,FALSE),"")</f>
        <v/>
      </c>
    </row>
    <row r="458" spans="1:11" x14ac:dyDescent="0.35">
      <c r="A458" t="str">
        <f>IFERROR(Tableau1[[#This Row],[ID Unique]],"")</f>
        <v/>
      </c>
      <c r="B458" t="str">
        <f>IFERROR(VLOOKUP($A458,'Consolidate List'!$A$2:$P$1048576,15,FALSE),"")</f>
        <v/>
      </c>
      <c r="C458" t="str">
        <f>IFERROR(VLOOKUP($A458,'Consolidate List'!$A$2:$P$1048576,16,FALSE),"")</f>
        <v/>
      </c>
      <c r="D458" t="str">
        <f>IFERROR(VLOOKUP($A458,'Consolidate List'!$A$2:$P$1048576,8,FALSE),"")</f>
        <v/>
      </c>
      <c r="F458" t="str">
        <f>IFERROR(VLOOKUP($A458,'Consolidate List'!$A$2:$P$1048576,12,FALSE),"")</f>
        <v/>
      </c>
      <c r="G458" t="str">
        <f>IFERROR(VLOOKUP($A458,'Consolidate List'!$A$2:$P$1048576,11,FALSE),"")</f>
        <v/>
      </c>
      <c r="H458" t="str">
        <f>IFERROR(VLOOKUP($A458,'Consolidate List'!$A$2:$P$1048576,9,FALSE),"")</f>
        <v/>
      </c>
      <c r="I458" t="str">
        <f>IFERROR(VLOOKUP($A458,'Consolidate List'!$A$2:$P$1048576,10,FALSE),"")</f>
        <v/>
      </c>
      <c r="J458" t="str">
        <f>IFERROR(_xlfn.CONCAT((VLOOKUP($A458,'Consolidate List'!$A$2:$P$1048576,5,FALSE)),", ",VLOOKUP($A458,'Consolidate List'!$A$2:$P$1048576,6,FALSE)),"")</f>
        <v/>
      </c>
      <c r="K458" t="str">
        <f>IFERROR(VLOOKUP($A458,'Consolidate List'!$A$2:$P$1048576,17,FALSE),"")</f>
        <v/>
      </c>
    </row>
    <row r="459" spans="1:11" x14ac:dyDescent="0.35">
      <c r="A459" t="str">
        <f>IFERROR(Tableau1[[#This Row],[ID Unique]],"")</f>
        <v/>
      </c>
      <c r="B459" t="str">
        <f>IFERROR(VLOOKUP($A459,'Consolidate List'!$A$2:$P$1048576,15,FALSE),"")</f>
        <v/>
      </c>
      <c r="C459" t="str">
        <f>IFERROR(VLOOKUP($A459,'Consolidate List'!$A$2:$P$1048576,16,FALSE),"")</f>
        <v/>
      </c>
      <c r="D459" t="str">
        <f>IFERROR(VLOOKUP($A459,'Consolidate List'!$A$2:$P$1048576,8,FALSE),"")</f>
        <v/>
      </c>
      <c r="F459" t="str">
        <f>IFERROR(VLOOKUP($A459,'Consolidate List'!$A$2:$P$1048576,12,FALSE),"")</f>
        <v/>
      </c>
      <c r="G459" t="str">
        <f>IFERROR(VLOOKUP($A459,'Consolidate List'!$A$2:$P$1048576,11,FALSE),"")</f>
        <v/>
      </c>
      <c r="H459" t="str">
        <f>IFERROR(VLOOKUP($A459,'Consolidate List'!$A$2:$P$1048576,9,FALSE),"")</f>
        <v/>
      </c>
      <c r="I459" t="str">
        <f>IFERROR(VLOOKUP($A459,'Consolidate List'!$A$2:$P$1048576,10,FALSE),"")</f>
        <v/>
      </c>
      <c r="J459" t="str">
        <f>IFERROR(_xlfn.CONCAT((VLOOKUP($A459,'Consolidate List'!$A$2:$P$1048576,5,FALSE)),", ",VLOOKUP($A459,'Consolidate List'!$A$2:$P$1048576,6,FALSE)),"")</f>
        <v/>
      </c>
      <c r="K459" t="str">
        <f>IFERROR(VLOOKUP($A459,'Consolidate List'!$A$2:$P$1048576,17,FALSE),"")</f>
        <v/>
      </c>
    </row>
    <row r="460" spans="1:11" x14ac:dyDescent="0.35">
      <c r="A460" t="str">
        <f>IFERROR(Tableau1[[#This Row],[ID Unique]],"")</f>
        <v/>
      </c>
      <c r="B460" t="str">
        <f>IFERROR(VLOOKUP($A460,'Consolidate List'!$A$2:$P$1048576,15,FALSE),"")</f>
        <v/>
      </c>
      <c r="C460" t="str">
        <f>IFERROR(VLOOKUP($A460,'Consolidate List'!$A$2:$P$1048576,16,FALSE),"")</f>
        <v/>
      </c>
      <c r="D460" t="str">
        <f>IFERROR(VLOOKUP($A460,'Consolidate List'!$A$2:$P$1048576,8,FALSE),"")</f>
        <v/>
      </c>
      <c r="F460" t="str">
        <f>IFERROR(VLOOKUP($A460,'Consolidate List'!$A$2:$P$1048576,12,FALSE),"")</f>
        <v/>
      </c>
      <c r="G460" t="str">
        <f>IFERROR(VLOOKUP($A460,'Consolidate List'!$A$2:$P$1048576,11,FALSE),"")</f>
        <v/>
      </c>
      <c r="H460" t="str">
        <f>IFERROR(VLOOKUP($A460,'Consolidate List'!$A$2:$P$1048576,9,FALSE),"")</f>
        <v/>
      </c>
      <c r="I460" t="str">
        <f>IFERROR(VLOOKUP($A460,'Consolidate List'!$A$2:$P$1048576,10,FALSE),"")</f>
        <v/>
      </c>
      <c r="J460" t="str">
        <f>IFERROR(_xlfn.CONCAT((VLOOKUP($A460,'Consolidate List'!$A$2:$P$1048576,5,FALSE)),", ",VLOOKUP($A460,'Consolidate List'!$A$2:$P$1048576,6,FALSE)),"")</f>
        <v/>
      </c>
      <c r="K460" t="str">
        <f>IFERROR(VLOOKUP($A460,'Consolidate List'!$A$2:$P$1048576,17,FALSE),"")</f>
        <v/>
      </c>
    </row>
    <row r="461" spans="1:11" x14ac:dyDescent="0.35">
      <c r="A461" t="str">
        <f>IFERROR(Tableau1[[#This Row],[ID Unique]],"")</f>
        <v/>
      </c>
      <c r="B461" t="str">
        <f>IFERROR(VLOOKUP($A461,'Consolidate List'!$A$2:$P$1048576,15,FALSE),"")</f>
        <v/>
      </c>
      <c r="C461" t="str">
        <f>IFERROR(VLOOKUP($A461,'Consolidate List'!$A$2:$P$1048576,16,FALSE),"")</f>
        <v/>
      </c>
      <c r="D461" t="str">
        <f>IFERROR(VLOOKUP($A461,'Consolidate List'!$A$2:$P$1048576,8,FALSE),"")</f>
        <v/>
      </c>
      <c r="F461" t="str">
        <f>IFERROR(VLOOKUP($A461,'Consolidate List'!$A$2:$P$1048576,12,FALSE),"")</f>
        <v/>
      </c>
      <c r="G461" t="str">
        <f>IFERROR(VLOOKUP($A461,'Consolidate List'!$A$2:$P$1048576,11,FALSE),"")</f>
        <v/>
      </c>
      <c r="H461" t="str">
        <f>IFERROR(VLOOKUP($A461,'Consolidate List'!$A$2:$P$1048576,9,FALSE),"")</f>
        <v/>
      </c>
      <c r="I461" t="str">
        <f>IFERROR(VLOOKUP($A461,'Consolidate List'!$A$2:$P$1048576,10,FALSE),"")</f>
        <v/>
      </c>
      <c r="J461" t="str">
        <f>IFERROR(_xlfn.CONCAT((VLOOKUP($A461,'Consolidate List'!$A$2:$P$1048576,5,FALSE)),", ",VLOOKUP($A461,'Consolidate List'!$A$2:$P$1048576,6,FALSE)),"")</f>
        <v/>
      </c>
      <c r="K461" t="str">
        <f>IFERROR(VLOOKUP($A461,'Consolidate List'!$A$2:$P$1048576,17,FALSE),"")</f>
        <v/>
      </c>
    </row>
    <row r="462" spans="1:11" x14ac:dyDescent="0.35">
      <c r="A462" t="str">
        <f>IFERROR(Tableau1[[#This Row],[ID Unique]],"")</f>
        <v/>
      </c>
      <c r="B462" t="str">
        <f>IFERROR(VLOOKUP($A462,'Consolidate List'!$A$2:$P$1048576,15,FALSE),"")</f>
        <v/>
      </c>
      <c r="C462" t="str">
        <f>IFERROR(VLOOKUP($A462,'Consolidate List'!$A$2:$P$1048576,16,FALSE),"")</f>
        <v/>
      </c>
      <c r="D462" t="str">
        <f>IFERROR(VLOOKUP($A462,'Consolidate List'!$A$2:$P$1048576,8,FALSE),"")</f>
        <v/>
      </c>
      <c r="F462" t="str">
        <f>IFERROR(VLOOKUP($A462,'Consolidate List'!$A$2:$P$1048576,12,FALSE),"")</f>
        <v/>
      </c>
      <c r="G462" t="str">
        <f>IFERROR(VLOOKUP($A462,'Consolidate List'!$A$2:$P$1048576,11,FALSE),"")</f>
        <v/>
      </c>
      <c r="H462" t="str">
        <f>IFERROR(VLOOKUP($A462,'Consolidate List'!$A$2:$P$1048576,9,FALSE),"")</f>
        <v/>
      </c>
      <c r="I462" t="str">
        <f>IFERROR(VLOOKUP($A462,'Consolidate List'!$A$2:$P$1048576,10,FALSE),"")</f>
        <v/>
      </c>
      <c r="J462" t="str">
        <f>IFERROR(_xlfn.CONCAT((VLOOKUP($A462,'Consolidate List'!$A$2:$P$1048576,5,FALSE)),", ",VLOOKUP($A462,'Consolidate List'!$A$2:$P$1048576,6,FALSE)),"")</f>
        <v/>
      </c>
      <c r="K462" t="str">
        <f>IFERROR(VLOOKUP($A462,'Consolidate List'!$A$2:$P$1048576,17,FALSE),"")</f>
        <v/>
      </c>
    </row>
    <row r="463" spans="1:11" x14ac:dyDescent="0.35">
      <c r="A463" t="str">
        <f>IFERROR(Tableau1[[#This Row],[ID Unique]],"")</f>
        <v/>
      </c>
      <c r="B463" t="str">
        <f>IFERROR(VLOOKUP($A463,'Consolidate List'!$A$2:$P$1048576,15,FALSE),"")</f>
        <v/>
      </c>
      <c r="C463" t="str">
        <f>IFERROR(VLOOKUP($A463,'Consolidate List'!$A$2:$P$1048576,16,FALSE),"")</f>
        <v/>
      </c>
      <c r="D463" t="str">
        <f>IFERROR(VLOOKUP($A463,'Consolidate List'!$A$2:$P$1048576,8,FALSE),"")</f>
        <v/>
      </c>
      <c r="F463" t="str">
        <f>IFERROR(VLOOKUP($A463,'Consolidate List'!$A$2:$P$1048576,12,FALSE),"")</f>
        <v/>
      </c>
      <c r="G463" t="str">
        <f>IFERROR(VLOOKUP($A463,'Consolidate List'!$A$2:$P$1048576,11,FALSE),"")</f>
        <v/>
      </c>
      <c r="H463" t="str">
        <f>IFERROR(VLOOKUP($A463,'Consolidate List'!$A$2:$P$1048576,9,FALSE),"")</f>
        <v/>
      </c>
      <c r="I463" t="str">
        <f>IFERROR(VLOOKUP($A463,'Consolidate List'!$A$2:$P$1048576,10,FALSE),"")</f>
        <v/>
      </c>
      <c r="J463" t="str">
        <f>IFERROR(_xlfn.CONCAT((VLOOKUP($A463,'Consolidate List'!$A$2:$P$1048576,5,FALSE)),", ",VLOOKUP($A463,'Consolidate List'!$A$2:$P$1048576,6,FALSE)),"")</f>
        <v/>
      </c>
      <c r="K463" t="str">
        <f>IFERROR(VLOOKUP($A463,'Consolidate List'!$A$2:$P$1048576,17,FALSE),"")</f>
        <v/>
      </c>
    </row>
    <row r="464" spans="1:11" x14ac:dyDescent="0.35">
      <c r="A464" t="str">
        <f>IFERROR(Tableau1[[#This Row],[ID Unique]],"")</f>
        <v/>
      </c>
      <c r="B464" t="str">
        <f>IFERROR(VLOOKUP($A464,'Consolidate List'!$A$2:$P$1048576,15,FALSE),"")</f>
        <v/>
      </c>
      <c r="C464" t="str">
        <f>IFERROR(VLOOKUP($A464,'Consolidate List'!$A$2:$P$1048576,16,FALSE),"")</f>
        <v/>
      </c>
      <c r="D464" t="str">
        <f>IFERROR(VLOOKUP($A464,'Consolidate List'!$A$2:$P$1048576,8,FALSE),"")</f>
        <v/>
      </c>
      <c r="F464" t="str">
        <f>IFERROR(VLOOKUP($A464,'Consolidate List'!$A$2:$P$1048576,12,FALSE),"")</f>
        <v/>
      </c>
      <c r="G464" t="str">
        <f>IFERROR(VLOOKUP($A464,'Consolidate List'!$A$2:$P$1048576,11,FALSE),"")</f>
        <v/>
      </c>
      <c r="H464" t="str">
        <f>IFERROR(VLOOKUP($A464,'Consolidate List'!$A$2:$P$1048576,9,FALSE),"")</f>
        <v/>
      </c>
      <c r="I464" t="str">
        <f>IFERROR(VLOOKUP($A464,'Consolidate List'!$A$2:$P$1048576,10,FALSE),"")</f>
        <v/>
      </c>
      <c r="J464" t="str">
        <f>IFERROR(_xlfn.CONCAT((VLOOKUP($A464,'Consolidate List'!$A$2:$P$1048576,5,FALSE)),", ",VLOOKUP($A464,'Consolidate List'!$A$2:$P$1048576,6,FALSE)),"")</f>
        <v/>
      </c>
      <c r="K464" t="str">
        <f>IFERROR(VLOOKUP($A464,'Consolidate List'!$A$2:$P$1048576,17,FALSE),"")</f>
        <v/>
      </c>
    </row>
    <row r="465" spans="1:11" x14ac:dyDescent="0.35">
      <c r="A465" t="str">
        <f>IFERROR(Tableau1[[#This Row],[ID Unique]],"")</f>
        <v/>
      </c>
      <c r="B465" t="str">
        <f>IFERROR(VLOOKUP($A465,'Consolidate List'!$A$2:$P$1048576,15,FALSE),"")</f>
        <v/>
      </c>
      <c r="C465" t="str">
        <f>IFERROR(VLOOKUP($A465,'Consolidate List'!$A$2:$P$1048576,16,FALSE),"")</f>
        <v/>
      </c>
      <c r="D465" t="str">
        <f>IFERROR(VLOOKUP($A465,'Consolidate List'!$A$2:$P$1048576,8,FALSE),"")</f>
        <v/>
      </c>
      <c r="F465" t="str">
        <f>IFERROR(VLOOKUP($A465,'Consolidate List'!$A$2:$P$1048576,12,FALSE),"")</f>
        <v/>
      </c>
      <c r="G465" t="str">
        <f>IFERROR(VLOOKUP($A465,'Consolidate List'!$A$2:$P$1048576,11,FALSE),"")</f>
        <v/>
      </c>
      <c r="H465" t="str">
        <f>IFERROR(VLOOKUP($A465,'Consolidate List'!$A$2:$P$1048576,9,FALSE),"")</f>
        <v/>
      </c>
      <c r="I465" t="str">
        <f>IFERROR(VLOOKUP($A465,'Consolidate List'!$A$2:$P$1048576,10,FALSE),"")</f>
        <v/>
      </c>
      <c r="J465" t="str">
        <f>IFERROR(_xlfn.CONCAT((VLOOKUP($A465,'Consolidate List'!$A$2:$P$1048576,5,FALSE)),", ",VLOOKUP($A465,'Consolidate List'!$A$2:$P$1048576,6,FALSE)),"")</f>
        <v/>
      </c>
      <c r="K465" t="str">
        <f>IFERROR(VLOOKUP($A465,'Consolidate List'!$A$2:$P$1048576,17,FALSE),"")</f>
        <v/>
      </c>
    </row>
    <row r="466" spans="1:11" x14ac:dyDescent="0.35">
      <c r="A466" t="str">
        <f>IFERROR(Tableau1[[#This Row],[ID Unique]],"")</f>
        <v/>
      </c>
      <c r="B466" t="str">
        <f>IFERROR(VLOOKUP($A466,'Consolidate List'!$A$2:$P$1048576,15,FALSE),"")</f>
        <v/>
      </c>
      <c r="C466" t="str">
        <f>IFERROR(VLOOKUP($A466,'Consolidate List'!$A$2:$P$1048576,16,FALSE),"")</f>
        <v/>
      </c>
      <c r="D466" t="str">
        <f>IFERROR(VLOOKUP($A466,'Consolidate List'!$A$2:$P$1048576,8,FALSE),"")</f>
        <v/>
      </c>
      <c r="F466" t="str">
        <f>IFERROR(VLOOKUP($A466,'Consolidate List'!$A$2:$P$1048576,12,FALSE),"")</f>
        <v/>
      </c>
      <c r="G466" t="str">
        <f>IFERROR(VLOOKUP($A466,'Consolidate List'!$A$2:$P$1048576,11,FALSE),"")</f>
        <v/>
      </c>
      <c r="H466" t="str">
        <f>IFERROR(VLOOKUP($A466,'Consolidate List'!$A$2:$P$1048576,9,FALSE),"")</f>
        <v/>
      </c>
      <c r="I466" t="str">
        <f>IFERROR(VLOOKUP($A466,'Consolidate List'!$A$2:$P$1048576,10,FALSE),"")</f>
        <v/>
      </c>
      <c r="J466" t="str">
        <f>IFERROR(_xlfn.CONCAT((VLOOKUP($A466,'Consolidate List'!$A$2:$P$1048576,5,FALSE)),", ",VLOOKUP($A466,'Consolidate List'!$A$2:$P$1048576,6,FALSE)),"")</f>
        <v/>
      </c>
      <c r="K466" t="str">
        <f>IFERROR(VLOOKUP($A466,'Consolidate List'!$A$2:$P$1048576,17,FALSE),"")</f>
        <v/>
      </c>
    </row>
    <row r="467" spans="1:11" x14ac:dyDescent="0.35">
      <c r="A467" t="str">
        <f>IFERROR(Tableau1[[#This Row],[ID Unique]],"")</f>
        <v/>
      </c>
      <c r="B467" t="str">
        <f>IFERROR(VLOOKUP($A467,'Consolidate List'!$A$2:$P$1048576,15,FALSE),"")</f>
        <v/>
      </c>
      <c r="C467" t="str">
        <f>IFERROR(VLOOKUP($A467,'Consolidate List'!$A$2:$P$1048576,16,FALSE),"")</f>
        <v/>
      </c>
      <c r="D467" t="str">
        <f>IFERROR(VLOOKUP($A467,'Consolidate List'!$A$2:$P$1048576,8,FALSE),"")</f>
        <v/>
      </c>
      <c r="F467" t="str">
        <f>IFERROR(VLOOKUP($A467,'Consolidate List'!$A$2:$P$1048576,12,FALSE),"")</f>
        <v/>
      </c>
      <c r="G467" t="str">
        <f>IFERROR(VLOOKUP($A467,'Consolidate List'!$A$2:$P$1048576,11,FALSE),"")</f>
        <v/>
      </c>
      <c r="H467" t="str">
        <f>IFERROR(VLOOKUP($A467,'Consolidate List'!$A$2:$P$1048576,9,FALSE),"")</f>
        <v/>
      </c>
      <c r="I467" t="str">
        <f>IFERROR(VLOOKUP($A467,'Consolidate List'!$A$2:$P$1048576,10,FALSE),"")</f>
        <v/>
      </c>
      <c r="J467" t="str">
        <f>IFERROR(_xlfn.CONCAT((VLOOKUP($A467,'Consolidate List'!$A$2:$P$1048576,5,FALSE)),", ",VLOOKUP($A467,'Consolidate List'!$A$2:$P$1048576,6,FALSE)),"")</f>
        <v/>
      </c>
      <c r="K467" t="str">
        <f>IFERROR(VLOOKUP($A467,'Consolidate List'!$A$2:$P$1048576,17,FALSE),"")</f>
        <v/>
      </c>
    </row>
    <row r="468" spans="1:11" x14ac:dyDescent="0.35">
      <c r="A468" t="str">
        <f>IFERROR(Tableau1[[#This Row],[ID Unique]],"")</f>
        <v/>
      </c>
      <c r="B468" t="str">
        <f>IFERROR(VLOOKUP($A468,'Consolidate List'!$A$2:$P$1048576,15,FALSE),"")</f>
        <v/>
      </c>
      <c r="C468" t="str">
        <f>IFERROR(VLOOKUP($A468,'Consolidate List'!$A$2:$P$1048576,16,FALSE),"")</f>
        <v/>
      </c>
      <c r="D468" t="str">
        <f>IFERROR(VLOOKUP($A468,'Consolidate List'!$A$2:$P$1048576,8,FALSE),"")</f>
        <v/>
      </c>
      <c r="F468" t="str">
        <f>IFERROR(VLOOKUP($A468,'Consolidate List'!$A$2:$P$1048576,12,FALSE),"")</f>
        <v/>
      </c>
      <c r="G468" t="str">
        <f>IFERROR(VLOOKUP($A468,'Consolidate List'!$A$2:$P$1048576,11,FALSE),"")</f>
        <v/>
      </c>
      <c r="H468" t="str">
        <f>IFERROR(VLOOKUP($A468,'Consolidate List'!$A$2:$P$1048576,9,FALSE),"")</f>
        <v/>
      </c>
      <c r="I468" t="str">
        <f>IFERROR(VLOOKUP($A468,'Consolidate List'!$A$2:$P$1048576,10,FALSE),"")</f>
        <v/>
      </c>
      <c r="J468" t="str">
        <f>IFERROR(_xlfn.CONCAT((VLOOKUP($A468,'Consolidate List'!$A$2:$P$1048576,5,FALSE)),", ",VLOOKUP($A468,'Consolidate List'!$A$2:$P$1048576,6,FALSE)),"")</f>
        <v/>
      </c>
      <c r="K468" t="str">
        <f>IFERROR(VLOOKUP($A468,'Consolidate List'!$A$2:$P$1048576,17,FALSE),"")</f>
        <v/>
      </c>
    </row>
    <row r="469" spans="1:11" x14ac:dyDescent="0.35">
      <c r="A469" t="str">
        <f>IFERROR(Tableau1[[#This Row],[ID Unique]],"")</f>
        <v/>
      </c>
      <c r="B469" t="str">
        <f>IFERROR(VLOOKUP($A469,'Consolidate List'!$A$2:$P$1048576,15,FALSE),"")</f>
        <v/>
      </c>
      <c r="C469" t="str">
        <f>IFERROR(VLOOKUP($A469,'Consolidate List'!$A$2:$P$1048576,16,FALSE),"")</f>
        <v/>
      </c>
      <c r="D469" t="str">
        <f>IFERROR(VLOOKUP($A469,'Consolidate List'!$A$2:$P$1048576,8,FALSE),"")</f>
        <v/>
      </c>
      <c r="F469" t="str">
        <f>IFERROR(VLOOKUP($A469,'Consolidate List'!$A$2:$P$1048576,12,FALSE),"")</f>
        <v/>
      </c>
      <c r="G469" t="str">
        <f>IFERROR(VLOOKUP($A469,'Consolidate List'!$A$2:$P$1048576,11,FALSE),"")</f>
        <v/>
      </c>
      <c r="H469" t="str">
        <f>IFERROR(VLOOKUP($A469,'Consolidate List'!$A$2:$P$1048576,9,FALSE),"")</f>
        <v/>
      </c>
      <c r="I469" t="str">
        <f>IFERROR(VLOOKUP($A469,'Consolidate List'!$A$2:$P$1048576,10,FALSE),"")</f>
        <v/>
      </c>
      <c r="J469" t="str">
        <f>IFERROR(_xlfn.CONCAT((VLOOKUP($A469,'Consolidate List'!$A$2:$P$1048576,5,FALSE)),", ",VLOOKUP($A469,'Consolidate List'!$A$2:$P$1048576,6,FALSE)),"")</f>
        <v/>
      </c>
      <c r="K469" t="str">
        <f>IFERROR(VLOOKUP($A469,'Consolidate List'!$A$2:$P$1048576,17,FALSE),"")</f>
        <v/>
      </c>
    </row>
    <row r="470" spans="1:11" x14ac:dyDescent="0.35">
      <c r="A470" t="str">
        <f>IFERROR(Tableau1[[#This Row],[ID Unique]],"")</f>
        <v/>
      </c>
      <c r="B470" t="str">
        <f>IFERROR(VLOOKUP($A470,'Consolidate List'!$A$2:$P$1048576,15,FALSE),"")</f>
        <v/>
      </c>
      <c r="C470" t="str">
        <f>IFERROR(VLOOKUP($A470,'Consolidate List'!$A$2:$P$1048576,16,FALSE),"")</f>
        <v/>
      </c>
      <c r="D470" t="str">
        <f>IFERROR(VLOOKUP($A470,'Consolidate List'!$A$2:$P$1048576,8,FALSE),"")</f>
        <v/>
      </c>
      <c r="F470" t="str">
        <f>IFERROR(VLOOKUP($A470,'Consolidate List'!$A$2:$P$1048576,12,FALSE),"")</f>
        <v/>
      </c>
      <c r="G470" t="str">
        <f>IFERROR(VLOOKUP($A470,'Consolidate List'!$A$2:$P$1048576,11,FALSE),"")</f>
        <v/>
      </c>
      <c r="H470" t="str">
        <f>IFERROR(VLOOKUP($A470,'Consolidate List'!$A$2:$P$1048576,9,FALSE),"")</f>
        <v/>
      </c>
      <c r="I470" t="str">
        <f>IFERROR(VLOOKUP($A470,'Consolidate List'!$A$2:$P$1048576,10,FALSE),"")</f>
        <v/>
      </c>
      <c r="J470" t="str">
        <f>IFERROR(_xlfn.CONCAT((VLOOKUP($A470,'Consolidate List'!$A$2:$P$1048576,5,FALSE)),", ",VLOOKUP($A470,'Consolidate List'!$A$2:$P$1048576,6,FALSE)),"")</f>
        <v/>
      </c>
      <c r="K470" t="str">
        <f>IFERROR(VLOOKUP($A470,'Consolidate List'!$A$2:$P$1048576,17,FALSE),"")</f>
        <v/>
      </c>
    </row>
    <row r="471" spans="1:11" x14ac:dyDescent="0.35">
      <c r="A471" t="str">
        <f>IFERROR(Tableau1[[#This Row],[ID Unique]],"")</f>
        <v/>
      </c>
      <c r="B471" t="str">
        <f>IFERROR(VLOOKUP($A471,'Consolidate List'!$A$2:$P$1048576,15,FALSE),"")</f>
        <v/>
      </c>
      <c r="C471" t="str">
        <f>IFERROR(VLOOKUP($A471,'Consolidate List'!$A$2:$P$1048576,16,FALSE),"")</f>
        <v/>
      </c>
      <c r="D471" t="str">
        <f>IFERROR(VLOOKUP($A471,'Consolidate List'!$A$2:$P$1048576,8,FALSE),"")</f>
        <v/>
      </c>
      <c r="F471" t="str">
        <f>IFERROR(VLOOKUP($A471,'Consolidate List'!$A$2:$P$1048576,12,FALSE),"")</f>
        <v/>
      </c>
      <c r="G471" t="str">
        <f>IFERROR(VLOOKUP($A471,'Consolidate List'!$A$2:$P$1048576,11,FALSE),"")</f>
        <v/>
      </c>
      <c r="H471" t="str">
        <f>IFERROR(VLOOKUP($A471,'Consolidate List'!$A$2:$P$1048576,9,FALSE),"")</f>
        <v/>
      </c>
      <c r="I471" t="str">
        <f>IFERROR(VLOOKUP($A471,'Consolidate List'!$A$2:$P$1048576,10,FALSE),"")</f>
        <v/>
      </c>
      <c r="J471" t="str">
        <f>IFERROR(_xlfn.CONCAT((VLOOKUP($A471,'Consolidate List'!$A$2:$P$1048576,5,FALSE)),", ",VLOOKUP($A471,'Consolidate List'!$A$2:$P$1048576,6,FALSE)),"")</f>
        <v/>
      </c>
      <c r="K471" t="str">
        <f>IFERROR(VLOOKUP($A471,'Consolidate List'!$A$2:$P$1048576,17,FALSE),"")</f>
        <v/>
      </c>
    </row>
    <row r="472" spans="1:11" x14ac:dyDescent="0.35">
      <c r="A472" t="str">
        <f>IFERROR(Tableau1[[#This Row],[ID Unique]],"")</f>
        <v/>
      </c>
      <c r="B472" t="str">
        <f>IFERROR(VLOOKUP($A472,'Consolidate List'!$A$2:$P$1048576,15,FALSE),"")</f>
        <v/>
      </c>
      <c r="C472" t="str">
        <f>IFERROR(VLOOKUP($A472,'Consolidate List'!$A$2:$P$1048576,16,FALSE),"")</f>
        <v/>
      </c>
      <c r="D472" t="str">
        <f>IFERROR(VLOOKUP($A472,'Consolidate List'!$A$2:$P$1048576,8,FALSE),"")</f>
        <v/>
      </c>
      <c r="F472" t="str">
        <f>IFERROR(VLOOKUP($A472,'Consolidate List'!$A$2:$P$1048576,12,FALSE),"")</f>
        <v/>
      </c>
      <c r="G472" t="str">
        <f>IFERROR(VLOOKUP($A472,'Consolidate List'!$A$2:$P$1048576,11,FALSE),"")</f>
        <v/>
      </c>
      <c r="H472" t="str">
        <f>IFERROR(VLOOKUP($A472,'Consolidate List'!$A$2:$P$1048576,9,FALSE),"")</f>
        <v/>
      </c>
      <c r="I472" t="str">
        <f>IFERROR(VLOOKUP($A472,'Consolidate List'!$A$2:$P$1048576,10,FALSE),"")</f>
        <v/>
      </c>
      <c r="J472" t="str">
        <f>IFERROR(_xlfn.CONCAT((VLOOKUP($A472,'Consolidate List'!$A$2:$P$1048576,5,FALSE)),", ",VLOOKUP($A472,'Consolidate List'!$A$2:$P$1048576,6,FALSE)),"")</f>
        <v/>
      </c>
      <c r="K472" t="str">
        <f>IFERROR(VLOOKUP($A472,'Consolidate List'!$A$2:$P$1048576,17,FALSE),"")</f>
        <v/>
      </c>
    </row>
    <row r="473" spans="1:11" x14ac:dyDescent="0.35">
      <c r="A473" t="str">
        <f>IFERROR(Tableau1[[#This Row],[ID Unique]],"")</f>
        <v/>
      </c>
      <c r="B473" t="str">
        <f>IFERROR(VLOOKUP($A473,'Consolidate List'!$A$2:$P$1048576,15,FALSE),"")</f>
        <v/>
      </c>
      <c r="C473" t="str">
        <f>IFERROR(VLOOKUP($A473,'Consolidate List'!$A$2:$P$1048576,16,FALSE),"")</f>
        <v/>
      </c>
      <c r="D473" t="str">
        <f>IFERROR(VLOOKUP($A473,'Consolidate List'!$A$2:$P$1048576,8,FALSE),"")</f>
        <v/>
      </c>
      <c r="F473" t="str">
        <f>IFERROR(VLOOKUP($A473,'Consolidate List'!$A$2:$P$1048576,12,FALSE),"")</f>
        <v/>
      </c>
      <c r="G473" t="str">
        <f>IFERROR(VLOOKUP($A473,'Consolidate List'!$A$2:$P$1048576,11,FALSE),"")</f>
        <v/>
      </c>
      <c r="H473" t="str">
        <f>IFERROR(VLOOKUP($A473,'Consolidate List'!$A$2:$P$1048576,9,FALSE),"")</f>
        <v/>
      </c>
      <c r="I473" t="str">
        <f>IFERROR(VLOOKUP($A473,'Consolidate List'!$A$2:$P$1048576,10,FALSE),"")</f>
        <v/>
      </c>
      <c r="J473" t="str">
        <f>IFERROR(_xlfn.CONCAT((VLOOKUP($A473,'Consolidate List'!$A$2:$P$1048576,5,FALSE)),", ",VLOOKUP($A473,'Consolidate List'!$A$2:$P$1048576,6,FALSE)),"")</f>
        <v/>
      </c>
      <c r="K473" t="str">
        <f>IFERROR(VLOOKUP($A473,'Consolidate List'!$A$2:$P$1048576,17,FALSE),"")</f>
        <v/>
      </c>
    </row>
    <row r="474" spans="1:11" x14ac:dyDescent="0.35">
      <c r="A474" t="str">
        <f>IFERROR(Tableau1[[#This Row],[ID Unique]],"")</f>
        <v/>
      </c>
      <c r="B474" t="str">
        <f>IFERROR(VLOOKUP($A474,'Consolidate List'!$A$2:$P$1048576,15,FALSE),"")</f>
        <v/>
      </c>
      <c r="C474" t="str">
        <f>IFERROR(VLOOKUP($A474,'Consolidate List'!$A$2:$P$1048576,16,FALSE),"")</f>
        <v/>
      </c>
      <c r="D474" t="str">
        <f>IFERROR(VLOOKUP($A474,'Consolidate List'!$A$2:$P$1048576,8,FALSE),"")</f>
        <v/>
      </c>
      <c r="F474" t="str">
        <f>IFERROR(VLOOKUP($A474,'Consolidate List'!$A$2:$P$1048576,12,FALSE),"")</f>
        <v/>
      </c>
      <c r="G474" t="str">
        <f>IFERROR(VLOOKUP($A474,'Consolidate List'!$A$2:$P$1048576,11,FALSE),"")</f>
        <v/>
      </c>
      <c r="H474" t="str">
        <f>IFERROR(VLOOKUP($A474,'Consolidate List'!$A$2:$P$1048576,9,FALSE),"")</f>
        <v/>
      </c>
      <c r="I474" t="str">
        <f>IFERROR(VLOOKUP($A474,'Consolidate List'!$A$2:$P$1048576,10,FALSE),"")</f>
        <v/>
      </c>
      <c r="J474" t="str">
        <f>IFERROR(_xlfn.CONCAT((VLOOKUP($A474,'Consolidate List'!$A$2:$P$1048576,5,FALSE)),", ",VLOOKUP($A474,'Consolidate List'!$A$2:$P$1048576,6,FALSE)),"")</f>
        <v/>
      </c>
      <c r="K474" t="str">
        <f>IFERROR(VLOOKUP($A474,'Consolidate List'!$A$2:$P$1048576,17,FALSE),"")</f>
        <v/>
      </c>
    </row>
    <row r="475" spans="1:11" x14ac:dyDescent="0.35">
      <c r="A475" t="str">
        <f>IFERROR(Tableau1[[#This Row],[ID Unique]],"")</f>
        <v/>
      </c>
      <c r="B475" t="str">
        <f>IFERROR(VLOOKUP($A475,'Consolidate List'!$A$2:$P$1048576,15,FALSE),"")</f>
        <v/>
      </c>
      <c r="C475" t="str">
        <f>IFERROR(VLOOKUP($A475,'Consolidate List'!$A$2:$P$1048576,16,FALSE),"")</f>
        <v/>
      </c>
      <c r="D475" t="str">
        <f>IFERROR(VLOOKUP($A475,'Consolidate List'!$A$2:$P$1048576,8,FALSE),"")</f>
        <v/>
      </c>
      <c r="F475" t="str">
        <f>IFERROR(VLOOKUP($A475,'Consolidate List'!$A$2:$P$1048576,12,FALSE),"")</f>
        <v/>
      </c>
      <c r="G475" t="str">
        <f>IFERROR(VLOOKUP($A475,'Consolidate List'!$A$2:$P$1048576,11,FALSE),"")</f>
        <v/>
      </c>
      <c r="H475" t="str">
        <f>IFERROR(VLOOKUP($A475,'Consolidate List'!$A$2:$P$1048576,9,FALSE),"")</f>
        <v/>
      </c>
      <c r="I475" t="str">
        <f>IFERROR(VLOOKUP($A475,'Consolidate List'!$A$2:$P$1048576,10,FALSE),"")</f>
        <v/>
      </c>
      <c r="J475" t="str">
        <f>IFERROR(_xlfn.CONCAT((VLOOKUP($A475,'Consolidate List'!$A$2:$P$1048576,5,FALSE)),", ",VLOOKUP($A475,'Consolidate List'!$A$2:$P$1048576,6,FALSE)),"")</f>
        <v/>
      </c>
      <c r="K475" t="str">
        <f>IFERROR(VLOOKUP($A475,'Consolidate List'!$A$2:$P$1048576,17,FALSE),"")</f>
        <v/>
      </c>
    </row>
    <row r="476" spans="1:11" x14ac:dyDescent="0.35">
      <c r="A476" t="str">
        <f>IFERROR(Tableau1[[#This Row],[ID Unique]],"")</f>
        <v/>
      </c>
      <c r="B476" t="str">
        <f>IFERROR(VLOOKUP($A476,'Consolidate List'!$A$2:$P$1048576,15,FALSE),"")</f>
        <v/>
      </c>
      <c r="C476" t="str">
        <f>IFERROR(VLOOKUP($A476,'Consolidate List'!$A$2:$P$1048576,16,FALSE),"")</f>
        <v/>
      </c>
      <c r="D476" t="str">
        <f>IFERROR(VLOOKUP($A476,'Consolidate List'!$A$2:$P$1048576,8,FALSE),"")</f>
        <v/>
      </c>
      <c r="F476" t="str">
        <f>IFERROR(VLOOKUP($A476,'Consolidate List'!$A$2:$P$1048576,12,FALSE),"")</f>
        <v/>
      </c>
      <c r="G476" t="str">
        <f>IFERROR(VLOOKUP($A476,'Consolidate List'!$A$2:$P$1048576,11,FALSE),"")</f>
        <v/>
      </c>
      <c r="H476" t="str">
        <f>IFERROR(VLOOKUP($A476,'Consolidate List'!$A$2:$P$1048576,9,FALSE),"")</f>
        <v/>
      </c>
      <c r="I476" t="str">
        <f>IFERROR(VLOOKUP($A476,'Consolidate List'!$A$2:$P$1048576,10,FALSE),"")</f>
        <v/>
      </c>
      <c r="J476" t="str">
        <f>IFERROR(_xlfn.CONCAT((VLOOKUP($A476,'Consolidate List'!$A$2:$P$1048576,5,FALSE)),", ",VLOOKUP($A476,'Consolidate List'!$A$2:$P$1048576,6,FALSE)),"")</f>
        <v/>
      </c>
      <c r="K476" t="str">
        <f>IFERROR(VLOOKUP($A476,'Consolidate List'!$A$2:$P$1048576,17,FALSE),"")</f>
        <v/>
      </c>
    </row>
    <row r="477" spans="1:11" x14ac:dyDescent="0.35">
      <c r="A477" t="str">
        <f>IFERROR(Tableau1[[#This Row],[ID Unique]],"")</f>
        <v/>
      </c>
      <c r="B477" t="str">
        <f>IFERROR(VLOOKUP($A477,'Consolidate List'!$A$2:$P$1048576,15,FALSE),"")</f>
        <v/>
      </c>
      <c r="C477" t="str">
        <f>IFERROR(VLOOKUP($A477,'Consolidate List'!$A$2:$P$1048576,16,FALSE),"")</f>
        <v/>
      </c>
      <c r="D477" t="str">
        <f>IFERROR(VLOOKUP($A477,'Consolidate List'!$A$2:$P$1048576,8,FALSE),"")</f>
        <v/>
      </c>
      <c r="F477" t="str">
        <f>IFERROR(VLOOKUP($A477,'Consolidate List'!$A$2:$P$1048576,12,FALSE),"")</f>
        <v/>
      </c>
      <c r="G477" t="str">
        <f>IFERROR(VLOOKUP($A477,'Consolidate List'!$A$2:$P$1048576,11,FALSE),"")</f>
        <v/>
      </c>
      <c r="H477" t="str">
        <f>IFERROR(VLOOKUP($A477,'Consolidate List'!$A$2:$P$1048576,9,FALSE),"")</f>
        <v/>
      </c>
      <c r="I477" t="str">
        <f>IFERROR(VLOOKUP($A477,'Consolidate List'!$A$2:$P$1048576,10,FALSE),"")</f>
        <v/>
      </c>
      <c r="J477" t="str">
        <f>IFERROR(_xlfn.CONCAT((VLOOKUP($A477,'Consolidate List'!$A$2:$P$1048576,5,FALSE)),", ",VLOOKUP($A477,'Consolidate List'!$A$2:$P$1048576,6,FALSE)),"")</f>
        <v/>
      </c>
      <c r="K477" t="str">
        <f>IFERROR(VLOOKUP($A477,'Consolidate List'!$A$2:$P$1048576,17,FALSE),"")</f>
        <v/>
      </c>
    </row>
    <row r="478" spans="1:11" x14ac:dyDescent="0.35">
      <c r="A478" t="str">
        <f>IFERROR(Tableau1[[#This Row],[ID Unique]],"")</f>
        <v/>
      </c>
      <c r="B478" t="str">
        <f>IFERROR(VLOOKUP($A478,'Consolidate List'!$A$2:$P$1048576,15,FALSE),"")</f>
        <v/>
      </c>
      <c r="C478" t="str">
        <f>IFERROR(VLOOKUP($A478,'Consolidate List'!$A$2:$P$1048576,16,FALSE),"")</f>
        <v/>
      </c>
      <c r="D478" t="str">
        <f>IFERROR(VLOOKUP($A478,'Consolidate List'!$A$2:$P$1048576,8,FALSE),"")</f>
        <v/>
      </c>
      <c r="F478" t="str">
        <f>IFERROR(VLOOKUP($A478,'Consolidate List'!$A$2:$P$1048576,12,FALSE),"")</f>
        <v/>
      </c>
      <c r="G478" t="str">
        <f>IFERROR(VLOOKUP($A478,'Consolidate List'!$A$2:$P$1048576,11,FALSE),"")</f>
        <v/>
      </c>
      <c r="H478" t="str">
        <f>IFERROR(VLOOKUP($A478,'Consolidate List'!$A$2:$P$1048576,9,FALSE),"")</f>
        <v/>
      </c>
      <c r="I478" t="str">
        <f>IFERROR(VLOOKUP($A478,'Consolidate List'!$A$2:$P$1048576,10,FALSE),"")</f>
        <v/>
      </c>
      <c r="J478" t="str">
        <f>IFERROR(_xlfn.CONCAT((VLOOKUP($A478,'Consolidate List'!$A$2:$P$1048576,5,FALSE)),", ",VLOOKUP($A478,'Consolidate List'!$A$2:$P$1048576,6,FALSE)),"")</f>
        <v/>
      </c>
      <c r="K478" t="str">
        <f>IFERROR(VLOOKUP($A478,'Consolidate List'!$A$2:$P$1048576,17,FALSE),"")</f>
        <v/>
      </c>
    </row>
    <row r="479" spans="1:11" x14ac:dyDescent="0.35">
      <c r="A479" t="str">
        <f>IFERROR(Tableau1[[#This Row],[ID Unique]],"")</f>
        <v/>
      </c>
      <c r="B479" t="str">
        <f>IFERROR(VLOOKUP($A479,'Consolidate List'!$A$2:$P$1048576,15,FALSE),"")</f>
        <v/>
      </c>
      <c r="C479" t="str">
        <f>IFERROR(VLOOKUP($A479,'Consolidate List'!$A$2:$P$1048576,16,FALSE),"")</f>
        <v/>
      </c>
      <c r="D479" t="str">
        <f>IFERROR(VLOOKUP($A479,'Consolidate List'!$A$2:$P$1048576,8,FALSE),"")</f>
        <v/>
      </c>
      <c r="F479" t="str">
        <f>IFERROR(VLOOKUP($A479,'Consolidate List'!$A$2:$P$1048576,12,FALSE),"")</f>
        <v/>
      </c>
      <c r="G479" t="str">
        <f>IFERROR(VLOOKUP($A479,'Consolidate List'!$A$2:$P$1048576,11,FALSE),"")</f>
        <v/>
      </c>
      <c r="H479" t="str">
        <f>IFERROR(VLOOKUP($A479,'Consolidate List'!$A$2:$P$1048576,9,FALSE),"")</f>
        <v/>
      </c>
      <c r="I479" t="str">
        <f>IFERROR(VLOOKUP($A479,'Consolidate List'!$A$2:$P$1048576,10,FALSE),"")</f>
        <v/>
      </c>
      <c r="J479" t="str">
        <f>IFERROR(_xlfn.CONCAT((VLOOKUP($A479,'Consolidate List'!$A$2:$P$1048576,5,FALSE)),", ",VLOOKUP($A479,'Consolidate List'!$A$2:$P$1048576,6,FALSE)),"")</f>
        <v/>
      </c>
      <c r="K479" t="str">
        <f>IFERROR(VLOOKUP($A479,'Consolidate List'!$A$2:$P$1048576,17,FALSE),"")</f>
        <v/>
      </c>
    </row>
    <row r="480" spans="1:11" x14ac:dyDescent="0.35">
      <c r="A480" t="str">
        <f>IFERROR(Tableau1[[#This Row],[ID Unique]],"")</f>
        <v/>
      </c>
      <c r="B480" t="str">
        <f>IFERROR(VLOOKUP($A480,'Consolidate List'!$A$2:$P$1048576,15,FALSE),"")</f>
        <v/>
      </c>
      <c r="C480" t="str">
        <f>IFERROR(VLOOKUP($A480,'Consolidate List'!$A$2:$P$1048576,16,FALSE),"")</f>
        <v/>
      </c>
      <c r="D480" t="str">
        <f>IFERROR(VLOOKUP($A480,'Consolidate List'!$A$2:$P$1048576,8,FALSE),"")</f>
        <v/>
      </c>
      <c r="F480" t="str">
        <f>IFERROR(VLOOKUP($A480,'Consolidate List'!$A$2:$P$1048576,12,FALSE),"")</f>
        <v/>
      </c>
      <c r="G480" t="str">
        <f>IFERROR(VLOOKUP($A480,'Consolidate List'!$A$2:$P$1048576,11,FALSE),"")</f>
        <v/>
      </c>
      <c r="H480" t="str">
        <f>IFERROR(VLOOKUP($A480,'Consolidate List'!$A$2:$P$1048576,9,FALSE),"")</f>
        <v/>
      </c>
      <c r="I480" t="str">
        <f>IFERROR(VLOOKUP($A480,'Consolidate List'!$A$2:$P$1048576,10,FALSE),"")</f>
        <v/>
      </c>
      <c r="J480" t="str">
        <f>IFERROR(_xlfn.CONCAT((VLOOKUP($A480,'Consolidate List'!$A$2:$P$1048576,5,FALSE)),", ",VLOOKUP($A480,'Consolidate List'!$A$2:$P$1048576,6,FALSE)),"")</f>
        <v/>
      </c>
      <c r="K480" t="str">
        <f>IFERROR(VLOOKUP($A480,'Consolidate List'!$A$2:$P$1048576,17,FALSE),"")</f>
        <v/>
      </c>
    </row>
    <row r="481" spans="1:11" x14ac:dyDescent="0.35">
      <c r="A481" t="str">
        <f>IFERROR(Tableau1[[#This Row],[ID Unique]],"")</f>
        <v/>
      </c>
      <c r="B481" t="str">
        <f>IFERROR(VLOOKUP($A481,'Consolidate List'!$A$2:$P$1048576,15,FALSE),"")</f>
        <v/>
      </c>
      <c r="C481" t="str">
        <f>IFERROR(VLOOKUP($A481,'Consolidate List'!$A$2:$P$1048576,16,FALSE),"")</f>
        <v/>
      </c>
      <c r="D481" t="str">
        <f>IFERROR(VLOOKUP($A481,'Consolidate List'!$A$2:$P$1048576,8,FALSE),"")</f>
        <v/>
      </c>
      <c r="F481" t="str">
        <f>IFERROR(VLOOKUP($A481,'Consolidate List'!$A$2:$P$1048576,12,FALSE),"")</f>
        <v/>
      </c>
      <c r="G481" t="str">
        <f>IFERROR(VLOOKUP($A481,'Consolidate List'!$A$2:$P$1048576,11,FALSE),"")</f>
        <v/>
      </c>
      <c r="H481" t="str">
        <f>IFERROR(VLOOKUP($A481,'Consolidate List'!$A$2:$P$1048576,9,FALSE),"")</f>
        <v/>
      </c>
      <c r="I481" t="str">
        <f>IFERROR(VLOOKUP($A481,'Consolidate List'!$A$2:$P$1048576,10,FALSE),"")</f>
        <v/>
      </c>
      <c r="J481" t="str">
        <f>IFERROR(_xlfn.CONCAT((VLOOKUP($A481,'Consolidate List'!$A$2:$P$1048576,5,FALSE)),", ",VLOOKUP($A481,'Consolidate List'!$A$2:$P$1048576,6,FALSE)),"")</f>
        <v/>
      </c>
      <c r="K481" t="str">
        <f>IFERROR(VLOOKUP($A481,'Consolidate List'!$A$2:$P$1048576,17,FALSE),"")</f>
        <v/>
      </c>
    </row>
    <row r="482" spans="1:11" x14ac:dyDescent="0.35">
      <c r="A482" t="str">
        <f>IFERROR(Tableau1[[#This Row],[ID Unique]],"")</f>
        <v/>
      </c>
      <c r="B482" t="str">
        <f>IFERROR(VLOOKUP($A482,'Consolidate List'!$A$2:$P$1048576,15,FALSE),"")</f>
        <v/>
      </c>
      <c r="C482" t="str">
        <f>IFERROR(VLOOKUP($A482,'Consolidate List'!$A$2:$P$1048576,16,FALSE),"")</f>
        <v/>
      </c>
      <c r="D482" t="str">
        <f>IFERROR(VLOOKUP($A482,'Consolidate List'!$A$2:$P$1048576,8,FALSE),"")</f>
        <v/>
      </c>
      <c r="F482" t="str">
        <f>IFERROR(VLOOKUP($A482,'Consolidate List'!$A$2:$P$1048576,12,FALSE),"")</f>
        <v/>
      </c>
      <c r="G482" t="str">
        <f>IFERROR(VLOOKUP($A482,'Consolidate List'!$A$2:$P$1048576,11,FALSE),"")</f>
        <v/>
      </c>
      <c r="H482" t="str">
        <f>IFERROR(VLOOKUP($A482,'Consolidate List'!$A$2:$P$1048576,9,FALSE),"")</f>
        <v/>
      </c>
      <c r="I482" t="str">
        <f>IFERROR(VLOOKUP($A482,'Consolidate List'!$A$2:$P$1048576,10,FALSE),"")</f>
        <v/>
      </c>
      <c r="J482" t="str">
        <f>IFERROR(_xlfn.CONCAT((VLOOKUP($A482,'Consolidate List'!$A$2:$P$1048576,5,FALSE)),", ",VLOOKUP($A482,'Consolidate List'!$A$2:$P$1048576,6,FALSE)),"")</f>
        <v/>
      </c>
      <c r="K482" t="str">
        <f>IFERROR(VLOOKUP($A482,'Consolidate List'!$A$2:$P$1048576,17,FALSE),"")</f>
        <v/>
      </c>
    </row>
    <row r="483" spans="1:11" x14ac:dyDescent="0.35">
      <c r="A483" t="str">
        <f>IFERROR(Tableau1[[#This Row],[ID Unique]],"")</f>
        <v/>
      </c>
      <c r="B483" t="str">
        <f>IFERROR(VLOOKUP($A483,'Consolidate List'!$A$2:$P$1048576,15,FALSE),"")</f>
        <v/>
      </c>
      <c r="C483" t="str">
        <f>IFERROR(VLOOKUP($A483,'Consolidate List'!$A$2:$P$1048576,16,FALSE),"")</f>
        <v/>
      </c>
      <c r="D483" t="str">
        <f>IFERROR(VLOOKUP($A483,'Consolidate List'!$A$2:$P$1048576,8,FALSE),"")</f>
        <v/>
      </c>
      <c r="F483" t="str">
        <f>IFERROR(VLOOKUP($A483,'Consolidate List'!$A$2:$P$1048576,12,FALSE),"")</f>
        <v/>
      </c>
      <c r="G483" t="str">
        <f>IFERROR(VLOOKUP($A483,'Consolidate List'!$A$2:$P$1048576,11,FALSE),"")</f>
        <v/>
      </c>
      <c r="H483" t="str">
        <f>IFERROR(VLOOKUP($A483,'Consolidate List'!$A$2:$P$1048576,9,FALSE),"")</f>
        <v/>
      </c>
      <c r="I483" t="str">
        <f>IFERROR(VLOOKUP($A483,'Consolidate List'!$A$2:$P$1048576,10,FALSE),"")</f>
        <v/>
      </c>
      <c r="J483" t="str">
        <f>IFERROR(_xlfn.CONCAT((VLOOKUP($A483,'Consolidate List'!$A$2:$P$1048576,5,FALSE)),", ",VLOOKUP($A483,'Consolidate List'!$A$2:$P$1048576,6,FALSE)),"")</f>
        <v/>
      </c>
      <c r="K483" t="str">
        <f>IFERROR(VLOOKUP($A483,'Consolidate List'!$A$2:$P$1048576,17,FALSE),"")</f>
        <v/>
      </c>
    </row>
    <row r="484" spans="1:11" x14ac:dyDescent="0.35">
      <c r="A484" t="str">
        <f>IFERROR(Tableau1[[#This Row],[ID Unique]],"")</f>
        <v/>
      </c>
      <c r="B484" t="str">
        <f>IFERROR(VLOOKUP($A484,'Consolidate List'!$A$2:$P$1048576,15,FALSE),"")</f>
        <v/>
      </c>
      <c r="C484" t="str">
        <f>IFERROR(VLOOKUP($A484,'Consolidate List'!$A$2:$P$1048576,16,FALSE),"")</f>
        <v/>
      </c>
      <c r="D484" t="str">
        <f>IFERROR(VLOOKUP($A484,'Consolidate List'!$A$2:$P$1048576,8,FALSE),"")</f>
        <v/>
      </c>
      <c r="F484" t="str">
        <f>IFERROR(VLOOKUP($A484,'Consolidate List'!$A$2:$P$1048576,12,FALSE),"")</f>
        <v/>
      </c>
      <c r="G484" t="str">
        <f>IFERROR(VLOOKUP($A484,'Consolidate List'!$A$2:$P$1048576,11,FALSE),"")</f>
        <v/>
      </c>
      <c r="H484" t="str">
        <f>IFERROR(VLOOKUP($A484,'Consolidate List'!$A$2:$P$1048576,9,FALSE),"")</f>
        <v/>
      </c>
      <c r="I484" t="str">
        <f>IFERROR(VLOOKUP($A484,'Consolidate List'!$A$2:$P$1048576,10,FALSE),"")</f>
        <v/>
      </c>
      <c r="J484" t="str">
        <f>IFERROR(_xlfn.CONCAT((VLOOKUP($A484,'Consolidate List'!$A$2:$P$1048576,5,FALSE)),", ",VLOOKUP($A484,'Consolidate List'!$A$2:$P$1048576,6,FALSE)),"")</f>
        <v/>
      </c>
      <c r="K484" t="str">
        <f>IFERROR(VLOOKUP($A484,'Consolidate List'!$A$2:$P$1048576,17,FALSE),"")</f>
        <v/>
      </c>
    </row>
    <row r="485" spans="1:11" x14ac:dyDescent="0.35">
      <c r="A485" t="str">
        <f>IFERROR(Tableau1[[#This Row],[ID Unique]],"")</f>
        <v/>
      </c>
      <c r="B485" t="str">
        <f>IFERROR(VLOOKUP($A485,'Consolidate List'!$A$2:$P$1048576,15,FALSE),"")</f>
        <v/>
      </c>
      <c r="C485" t="str">
        <f>IFERROR(VLOOKUP($A485,'Consolidate List'!$A$2:$P$1048576,16,FALSE),"")</f>
        <v/>
      </c>
      <c r="D485" t="str">
        <f>IFERROR(VLOOKUP($A485,'Consolidate List'!$A$2:$P$1048576,8,FALSE),"")</f>
        <v/>
      </c>
      <c r="F485" t="str">
        <f>IFERROR(VLOOKUP($A485,'Consolidate List'!$A$2:$P$1048576,12,FALSE),"")</f>
        <v/>
      </c>
      <c r="G485" t="str">
        <f>IFERROR(VLOOKUP($A485,'Consolidate List'!$A$2:$P$1048576,11,FALSE),"")</f>
        <v/>
      </c>
      <c r="H485" t="str">
        <f>IFERROR(VLOOKUP($A485,'Consolidate List'!$A$2:$P$1048576,9,FALSE),"")</f>
        <v/>
      </c>
      <c r="I485" t="str">
        <f>IFERROR(VLOOKUP($A485,'Consolidate List'!$A$2:$P$1048576,10,FALSE),"")</f>
        <v/>
      </c>
      <c r="J485" t="str">
        <f>IFERROR(_xlfn.CONCAT((VLOOKUP($A485,'Consolidate List'!$A$2:$P$1048576,5,FALSE)),", ",VLOOKUP($A485,'Consolidate List'!$A$2:$P$1048576,6,FALSE)),"")</f>
        <v/>
      </c>
      <c r="K485" t="str">
        <f>IFERROR(VLOOKUP($A485,'Consolidate List'!$A$2:$P$1048576,17,FALSE),"")</f>
        <v/>
      </c>
    </row>
    <row r="486" spans="1:11" x14ac:dyDescent="0.35">
      <c r="A486" t="str">
        <f>IFERROR(Tableau1[[#This Row],[ID Unique]],"")</f>
        <v/>
      </c>
      <c r="B486" t="str">
        <f>IFERROR(VLOOKUP($A486,'Consolidate List'!$A$2:$P$1048576,15,FALSE),"")</f>
        <v/>
      </c>
      <c r="C486" t="str">
        <f>IFERROR(VLOOKUP($A486,'Consolidate List'!$A$2:$P$1048576,16,FALSE),"")</f>
        <v/>
      </c>
      <c r="D486" t="str">
        <f>IFERROR(VLOOKUP($A486,'Consolidate List'!$A$2:$P$1048576,8,FALSE),"")</f>
        <v/>
      </c>
      <c r="F486" t="str">
        <f>IFERROR(VLOOKUP($A486,'Consolidate List'!$A$2:$P$1048576,12,FALSE),"")</f>
        <v/>
      </c>
      <c r="G486" t="str">
        <f>IFERROR(VLOOKUP($A486,'Consolidate List'!$A$2:$P$1048576,11,FALSE),"")</f>
        <v/>
      </c>
      <c r="H486" t="str">
        <f>IFERROR(VLOOKUP($A486,'Consolidate List'!$A$2:$P$1048576,9,FALSE),"")</f>
        <v/>
      </c>
      <c r="I486" t="str">
        <f>IFERROR(VLOOKUP($A486,'Consolidate List'!$A$2:$P$1048576,10,FALSE),"")</f>
        <v/>
      </c>
      <c r="J486" t="str">
        <f>IFERROR(_xlfn.CONCAT((VLOOKUP($A486,'Consolidate List'!$A$2:$P$1048576,5,FALSE)),", ",VLOOKUP($A486,'Consolidate List'!$A$2:$P$1048576,6,FALSE)),"")</f>
        <v/>
      </c>
      <c r="K486" t="str">
        <f>IFERROR(VLOOKUP($A486,'Consolidate List'!$A$2:$P$1048576,17,FALSE),"")</f>
        <v/>
      </c>
    </row>
    <row r="487" spans="1:11" x14ac:dyDescent="0.35">
      <c r="A487" t="str">
        <f>IFERROR(Tableau1[[#This Row],[ID Unique]],"")</f>
        <v/>
      </c>
      <c r="B487" t="str">
        <f>IFERROR(VLOOKUP($A487,'Consolidate List'!$A$2:$P$1048576,15,FALSE),"")</f>
        <v/>
      </c>
      <c r="C487" t="str">
        <f>IFERROR(VLOOKUP($A487,'Consolidate List'!$A$2:$P$1048576,16,FALSE),"")</f>
        <v/>
      </c>
      <c r="D487" t="str">
        <f>IFERROR(VLOOKUP($A487,'Consolidate List'!$A$2:$P$1048576,8,FALSE),"")</f>
        <v/>
      </c>
      <c r="F487" t="str">
        <f>IFERROR(VLOOKUP($A487,'Consolidate List'!$A$2:$P$1048576,12,FALSE),"")</f>
        <v/>
      </c>
      <c r="G487" t="str">
        <f>IFERROR(VLOOKUP($A487,'Consolidate List'!$A$2:$P$1048576,11,FALSE),"")</f>
        <v/>
      </c>
      <c r="H487" t="str">
        <f>IFERROR(VLOOKUP($A487,'Consolidate List'!$A$2:$P$1048576,9,FALSE),"")</f>
        <v/>
      </c>
      <c r="I487" t="str">
        <f>IFERROR(VLOOKUP($A487,'Consolidate List'!$A$2:$P$1048576,10,FALSE),"")</f>
        <v/>
      </c>
      <c r="J487" t="str">
        <f>IFERROR(_xlfn.CONCAT((VLOOKUP($A487,'Consolidate List'!$A$2:$P$1048576,5,FALSE)),", ",VLOOKUP($A487,'Consolidate List'!$A$2:$P$1048576,6,FALSE)),"")</f>
        <v/>
      </c>
      <c r="K487" t="str">
        <f>IFERROR(VLOOKUP($A487,'Consolidate List'!$A$2:$P$1048576,17,FALSE),"")</f>
        <v/>
      </c>
    </row>
    <row r="488" spans="1:11" x14ac:dyDescent="0.35">
      <c r="A488" t="str">
        <f>IFERROR(Tableau1[[#This Row],[ID Unique]],"")</f>
        <v/>
      </c>
      <c r="B488" t="str">
        <f>IFERROR(VLOOKUP($A488,'Consolidate List'!$A$2:$P$1048576,15,FALSE),"")</f>
        <v/>
      </c>
      <c r="C488" t="str">
        <f>IFERROR(VLOOKUP($A488,'Consolidate List'!$A$2:$P$1048576,16,FALSE),"")</f>
        <v/>
      </c>
      <c r="D488" t="str">
        <f>IFERROR(VLOOKUP($A488,'Consolidate List'!$A$2:$P$1048576,8,FALSE),"")</f>
        <v/>
      </c>
      <c r="F488" t="str">
        <f>IFERROR(VLOOKUP($A488,'Consolidate List'!$A$2:$P$1048576,12,FALSE),"")</f>
        <v/>
      </c>
      <c r="G488" t="str">
        <f>IFERROR(VLOOKUP($A488,'Consolidate List'!$A$2:$P$1048576,11,FALSE),"")</f>
        <v/>
      </c>
      <c r="H488" t="str">
        <f>IFERROR(VLOOKUP($A488,'Consolidate List'!$A$2:$P$1048576,9,FALSE),"")</f>
        <v/>
      </c>
      <c r="I488" t="str">
        <f>IFERROR(VLOOKUP($A488,'Consolidate List'!$A$2:$P$1048576,10,FALSE),"")</f>
        <v/>
      </c>
      <c r="J488" t="str">
        <f>IFERROR(_xlfn.CONCAT((VLOOKUP($A488,'Consolidate List'!$A$2:$P$1048576,5,FALSE)),", ",VLOOKUP($A488,'Consolidate List'!$A$2:$P$1048576,6,FALSE)),"")</f>
        <v/>
      </c>
      <c r="K488" t="str">
        <f>IFERROR(VLOOKUP($A488,'Consolidate List'!$A$2:$P$1048576,17,FALSE),"")</f>
        <v/>
      </c>
    </row>
    <row r="489" spans="1:11" x14ac:dyDescent="0.35">
      <c r="A489" t="str">
        <f>IFERROR(Tableau1[[#This Row],[ID Unique]],"")</f>
        <v/>
      </c>
      <c r="B489" t="str">
        <f>IFERROR(VLOOKUP($A489,'Consolidate List'!$A$2:$P$1048576,15,FALSE),"")</f>
        <v/>
      </c>
      <c r="C489" t="str">
        <f>IFERROR(VLOOKUP($A489,'Consolidate List'!$A$2:$P$1048576,16,FALSE),"")</f>
        <v/>
      </c>
      <c r="D489" t="str">
        <f>IFERROR(VLOOKUP($A489,'Consolidate List'!$A$2:$P$1048576,8,FALSE),"")</f>
        <v/>
      </c>
      <c r="F489" t="str">
        <f>IFERROR(VLOOKUP($A489,'Consolidate List'!$A$2:$P$1048576,12,FALSE),"")</f>
        <v/>
      </c>
      <c r="G489" t="str">
        <f>IFERROR(VLOOKUP($A489,'Consolidate List'!$A$2:$P$1048576,11,FALSE),"")</f>
        <v/>
      </c>
      <c r="H489" t="str">
        <f>IFERROR(VLOOKUP($A489,'Consolidate List'!$A$2:$P$1048576,9,FALSE),"")</f>
        <v/>
      </c>
      <c r="I489" t="str">
        <f>IFERROR(VLOOKUP($A489,'Consolidate List'!$A$2:$P$1048576,10,FALSE),"")</f>
        <v/>
      </c>
      <c r="J489" t="str">
        <f>IFERROR(_xlfn.CONCAT((VLOOKUP($A489,'Consolidate List'!$A$2:$P$1048576,5,FALSE)),", ",VLOOKUP($A489,'Consolidate List'!$A$2:$P$1048576,6,FALSE)),"")</f>
        <v/>
      </c>
      <c r="K489" t="str">
        <f>IFERROR(VLOOKUP($A489,'Consolidate List'!$A$2:$P$1048576,17,FALSE),"")</f>
        <v/>
      </c>
    </row>
    <row r="490" spans="1:11" x14ac:dyDescent="0.35">
      <c r="A490" t="str">
        <f>IFERROR(Tableau1[[#This Row],[ID Unique]],"")</f>
        <v/>
      </c>
      <c r="B490" t="str">
        <f>IFERROR(VLOOKUP($A490,'Consolidate List'!$A$2:$P$1048576,15,FALSE),"")</f>
        <v/>
      </c>
      <c r="C490" t="str">
        <f>IFERROR(VLOOKUP($A490,'Consolidate List'!$A$2:$P$1048576,16,FALSE),"")</f>
        <v/>
      </c>
      <c r="D490" t="str">
        <f>IFERROR(VLOOKUP($A490,'Consolidate List'!$A$2:$P$1048576,8,FALSE),"")</f>
        <v/>
      </c>
      <c r="F490" t="str">
        <f>IFERROR(VLOOKUP($A490,'Consolidate List'!$A$2:$P$1048576,12,FALSE),"")</f>
        <v/>
      </c>
      <c r="G490" t="str">
        <f>IFERROR(VLOOKUP($A490,'Consolidate List'!$A$2:$P$1048576,11,FALSE),"")</f>
        <v/>
      </c>
      <c r="H490" t="str">
        <f>IFERROR(VLOOKUP($A490,'Consolidate List'!$A$2:$P$1048576,9,FALSE),"")</f>
        <v/>
      </c>
      <c r="I490" t="str">
        <f>IFERROR(VLOOKUP($A490,'Consolidate List'!$A$2:$P$1048576,10,FALSE),"")</f>
        <v/>
      </c>
      <c r="J490" t="str">
        <f>IFERROR(_xlfn.CONCAT((VLOOKUP($A490,'Consolidate List'!$A$2:$P$1048576,5,FALSE)),", ",VLOOKUP($A490,'Consolidate List'!$A$2:$P$1048576,6,FALSE)),"")</f>
        <v/>
      </c>
      <c r="K490" t="str">
        <f>IFERROR(VLOOKUP($A490,'Consolidate List'!$A$2:$P$1048576,17,FALSE),"")</f>
        <v/>
      </c>
    </row>
    <row r="491" spans="1:11" x14ac:dyDescent="0.35">
      <c r="A491" t="str">
        <f>IFERROR(Tableau1[[#This Row],[ID Unique]],"")</f>
        <v/>
      </c>
      <c r="B491" t="str">
        <f>IFERROR(VLOOKUP($A491,'Consolidate List'!$A$2:$P$1048576,15,FALSE),"")</f>
        <v/>
      </c>
      <c r="C491" t="str">
        <f>IFERROR(VLOOKUP($A491,'Consolidate List'!$A$2:$P$1048576,16,FALSE),"")</f>
        <v/>
      </c>
      <c r="D491" t="str">
        <f>IFERROR(VLOOKUP($A491,'Consolidate List'!$A$2:$P$1048576,8,FALSE),"")</f>
        <v/>
      </c>
      <c r="F491" t="str">
        <f>IFERROR(VLOOKUP($A491,'Consolidate List'!$A$2:$P$1048576,12,FALSE),"")</f>
        <v/>
      </c>
      <c r="G491" t="str">
        <f>IFERROR(VLOOKUP($A491,'Consolidate List'!$A$2:$P$1048576,11,FALSE),"")</f>
        <v/>
      </c>
      <c r="H491" t="str">
        <f>IFERROR(VLOOKUP($A491,'Consolidate List'!$A$2:$P$1048576,9,FALSE),"")</f>
        <v/>
      </c>
      <c r="I491" t="str">
        <f>IFERROR(VLOOKUP($A491,'Consolidate List'!$A$2:$P$1048576,10,FALSE),"")</f>
        <v/>
      </c>
      <c r="J491" t="str">
        <f>IFERROR(_xlfn.CONCAT((VLOOKUP($A491,'Consolidate List'!$A$2:$P$1048576,5,FALSE)),", ",VLOOKUP($A491,'Consolidate List'!$A$2:$P$1048576,6,FALSE)),"")</f>
        <v/>
      </c>
      <c r="K491" t="str">
        <f>IFERROR(VLOOKUP($A491,'Consolidate List'!$A$2:$P$1048576,17,FALSE),"")</f>
        <v/>
      </c>
    </row>
    <row r="492" spans="1:11" x14ac:dyDescent="0.35">
      <c r="A492" t="str">
        <f>IFERROR(Tableau1[[#This Row],[ID Unique]],"")</f>
        <v/>
      </c>
      <c r="B492" t="str">
        <f>IFERROR(VLOOKUP($A492,'Consolidate List'!$A$2:$P$1048576,15,FALSE),"")</f>
        <v/>
      </c>
      <c r="C492" t="str">
        <f>IFERROR(VLOOKUP($A492,'Consolidate List'!$A$2:$P$1048576,16,FALSE),"")</f>
        <v/>
      </c>
      <c r="D492" t="str">
        <f>IFERROR(VLOOKUP($A492,'Consolidate List'!$A$2:$P$1048576,8,FALSE),"")</f>
        <v/>
      </c>
      <c r="F492" t="str">
        <f>IFERROR(VLOOKUP($A492,'Consolidate List'!$A$2:$P$1048576,12,FALSE),"")</f>
        <v/>
      </c>
      <c r="G492" t="str">
        <f>IFERROR(VLOOKUP($A492,'Consolidate List'!$A$2:$P$1048576,11,FALSE),"")</f>
        <v/>
      </c>
      <c r="H492" t="str">
        <f>IFERROR(VLOOKUP($A492,'Consolidate List'!$A$2:$P$1048576,9,FALSE),"")</f>
        <v/>
      </c>
      <c r="I492" t="str">
        <f>IFERROR(VLOOKUP($A492,'Consolidate List'!$A$2:$P$1048576,10,FALSE),"")</f>
        <v/>
      </c>
      <c r="J492" t="str">
        <f>IFERROR(_xlfn.CONCAT((VLOOKUP($A492,'Consolidate List'!$A$2:$P$1048576,5,FALSE)),", ",VLOOKUP($A492,'Consolidate List'!$A$2:$P$1048576,6,FALSE)),"")</f>
        <v/>
      </c>
      <c r="K492" t="str">
        <f>IFERROR(VLOOKUP($A492,'Consolidate List'!$A$2:$P$1048576,17,FALSE),"")</f>
        <v/>
      </c>
    </row>
    <row r="493" spans="1:11" x14ac:dyDescent="0.35">
      <c r="A493" t="str">
        <f>IFERROR(Tableau1[[#This Row],[ID Unique]],"")</f>
        <v/>
      </c>
      <c r="B493" t="str">
        <f>IFERROR(VLOOKUP($A493,'Consolidate List'!$A$2:$P$1048576,15,FALSE),"")</f>
        <v/>
      </c>
      <c r="C493" t="str">
        <f>IFERROR(VLOOKUP($A493,'Consolidate List'!$A$2:$P$1048576,16,FALSE),"")</f>
        <v/>
      </c>
      <c r="D493" t="str">
        <f>IFERROR(VLOOKUP($A493,'Consolidate List'!$A$2:$P$1048576,8,FALSE),"")</f>
        <v/>
      </c>
      <c r="F493" t="str">
        <f>IFERROR(VLOOKUP($A493,'Consolidate List'!$A$2:$P$1048576,12,FALSE),"")</f>
        <v/>
      </c>
      <c r="G493" t="str">
        <f>IFERROR(VLOOKUP($A493,'Consolidate List'!$A$2:$P$1048576,11,FALSE),"")</f>
        <v/>
      </c>
      <c r="H493" t="str">
        <f>IFERROR(VLOOKUP($A493,'Consolidate List'!$A$2:$P$1048576,9,FALSE),"")</f>
        <v/>
      </c>
      <c r="I493" t="str">
        <f>IFERROR(VLOOKUP($A493,'Consolidate List'!$A$2:$P$1048576,10,FALSE),"")</f>
        <v/>
      </c>
      <c r="J493" t="str">
        <f>IFERROR(_xlfn.CONCAT((VLOOKUP($A493,'Consolidate List'!$A$2:$P$1048576,5,FALSE)),", ",VLOOKUP($A493,'Consolidate List'!$A$2:$P$1048576,6,FALSE)),"")</f>
        <v/>
      </c>
      <c r="K493" t="str">
        <f>IFERROR(VLOOKUP($A493,'Consolidate List'!$A$2:$P$1048576,17,FALSE),"")</f>
        <v/>
      </c>
    </row>
    <row r="494" spans="1:11" x14ac:dyDescent="0.35">
      <c r="A494" t="str">
        <f>IFERROR(Tableau1[[#This Row],[ID Unique]],"")</f>
        <v/>
      </c>
      <c r="B494" t="str">
        <f>IFERROR(VLOOKUP($A494,'Consolidate List'!$A$2:$P$1048576,15,FALSE),"")</f>
        <v/>
      </c>
      <c r="C494" t="str">
        <f>IFERROR(VLOOKUP($A494,'Consolidate List'!$A$2:$P$1048576,16,FALSE),"")</f>
        <v/>
      </c>
      <c r="D494" t="str">
        <f>IFERROR(VLOOKUP($A494,'Consolidate List'!$A$2:$P$1048576,8,FALSE),"")</f>
        <v/>
      </c>
      <c r="F494" t="str">
        <f>IFERROR(VLOOKUP($A494,'Consolidate List'!$A$2:$P$1048576,12,FALSE),"")</f>
        <v/>
      </c>
      <c r="G494" t="str">
        <f>IFERROR(VLOOKUP($A494,'Consolidate List'!$A$2:$P$1048576,11,FALSE),"")</f>
        <v/>
      </c>
      <c r="H494" t="str">
        <f>IFERROR(VLOOKUP($A494,'Consolidate List'!$A$2:$P$1048576,9,FALSE),"")</f>
        <v/>
      </c>
      <c r="I494" t="str">
        <f>IFERROR(VLOOKUP($A494,'Consolidate List'!$A$2:$P$1048576,10,FALSE),"")</f>
        <v/>
      </c>
      <c r="J494" t="str">
        <f>IFERROR(_xlfn.CONCAT((VLOOKUP($A494,'Consolidate List'!$A$2:$P$1048576,5,FALSE)),", ",VLOOKUP($A494,'Consolidate List'!$A$2:$P$1048576,6,FALSE)),"")</f>
        <v/>
      </c>
      <c r="K494" t="str">
        <f>IFERROR(VLOOKUP($A494,'Consolidate List'!$A$2:$P$1048576,17,FALSE),"")</f>
        <v/>
      </c>
    </row>
    <row r="495" spans="1:11" x14ac:dyDescent="0.35">
      <c r="A495" t="str">
        <f>IFERROR(Tableau1[[#This Row],[ID Unique]],"")</f>
        <v/>
      </c>
      <c r="B495" t="str">
        <f>IFERROR(VLOOKUP($A495,'Consolidate List'!$A$2:$P$1048576,15,FALSE),"")</f>
        <v/>
      </c>
      <c r="C495" t="str">
        <f>IFERROR(VLOOKUP($A495,'Consolidate List'!$A$2:$P$1048576,16,FALSE),"")</f>
        <v/>
      </c>
      <c r="D495" t="str">
        <f>IFERROR(VLOOKUP($A495,'Consolidate List'!$A$2:$P$1048576,8,FALSE),"")</f>
        <v/>
      </c>
      <c r="F495" t="str">
        <f>IFERROR(VLOOKUP($A495,'Consolidate List'!$A$2:$P$1048576,12,FALSE),"")</f>
        <v/>
      </c>
      <c r="G495" t="str">
        <f>IFERROR(VLOOKUP($A495,'Consolidate List'!$A$2:$P$1048576,11,FALSE),"")</f>
        <v/>
      </c>
      <c r="H495" t="str">
        <f>IFERROR(VLOOKUP($A495,'Consolidate List'!$A$2:$P$1048576,9,FALSE),"")</f>
        <v/>
      </c>
      <c r="I495" t="str">
        <f>IFERROR(VLOOKUP($A495,'Consolidate List'!$A$2:$P$1048576,10,FALSE),"")</f>
        <v/>
      </c>
      <c r="J495" t="str">
        <f>IFERROR(_xlfn.CONCAT((VLOOKUP($A495,'Consolidate List'!$A$2:$P$1048576,5,FALSE)),", ",VLOOKUP($A495,'Consolidate List'!$A$2:$P$1048576,6,FALSE)),"")</f>
        <v/>
      </c>
      <c r="K495" t="str">
        <f>IFERROR(VLOOKUP($A495,'Consolidate List'!$A$2:$P$1048576,17,FALSE),"")</f>
        <v/>
      </c>
    </row>
    <row r="496" spans="1:11" x14ac:dyDescent="0.35">
      <c r="A496" t="str">
        <f>IFERROR(Tableau1[[#This Row],[ID Unique]],"")</f>
        <v/>
      </c>
      <c r="B496" t="str">
        <f>IFERROR(VLOOKUP($A496,'Consolidate List'!$A$2:$P$1048576,15,FALSE),"")</f>
        <v/>
      </c>
      <c r="C496" t="str">
        <f>IFERROR(VLOOKUP($A496,'Consolidate List'!$A$2:$P$1048576,16,FALSE),"")</f>
        <v/>
      </c>
      <c r="D496" t="str">
        <f>IFERROR(VLOOKUP($A496,'Consolidate List'!$A$2:$P$1048576,8,FALSE),"")</f>
        <v/>
      </c>
      <c r="F496" t="str">
        <f>IFERROR(VLOOKUP($A496,'Consolidate List'!$A$2:$P$1048576,12,FALSE),"")</f>
        <v/>
      </c>
      <c r="G496" t="str">
        <f>IFERROR(VLOOKUP($A496,'Consolidate List'!$A$2:$P$1048576,11,FALSE),"")</f>
        <v/>
      </c>
      <c r="H496" t="str">
        <f>IFERROR(VLOOKUP($A496,'Consolidate List'!$A$2:$P$1048576,9,FALSE),"")</f>
        <v/>
      </c>
      <c r="I496" t="str">
        <f>IFERROR(VLOOKUP($A496,'Consolidate List'!$A$2:$P$1048576,10,FALSE),"")</f>
        <v/>
      </c>
      <c r="J496" t="str">
        <f>IFERROR(_xlfn.CONCAT((VLOOKUP($A496,'Consolidate List'!$A$2:$P$1048576,5,FALSE)),", ",VLOOKUP($A496,'Consolidate List'!$A$2:$P$1048576,6,FALSE)),"")</f>
        <v/>
      </c>
      <c r="K496" t="str">
        <f>IFERROR(VLOOKUP($A496,'Consolidate List'!$A$2:$P$1048576,17,FALSE),"")</f>
        <v/>
      </c>
    </row>
    <row r="497" spans="1:11" x14ac:dyDescent="0.35">
      <c r="A497" t="str">
        <f>IFERROR(Tableau1[[#This Row],[ID Unique]],"")</f>
        <v/>
      </c>
      <c r="B497" t="str">
        <f>IFERROR(VLOOKUP($A497,'Consolidate List'!$A$2:$P$1048576,15,FALSE),"")</f>
        <v/>
      </c>
      <c r="C497" t="str">
        <f>IFERROR(VLOOKUP($A497,'Consolidate List'!$A$2:$P$1048576,16,FALSE),"")</f>
        <v/>
      </c>
      <c r="D497" t="str">
        <f>IFERROR(VLOOKUP($A497,'Consolidate List'!$A$2:$P$1048576,8,FALSE),"")</f>
        <v/>
      </c>
      <c r="F497" t="str">
        <f>IFERROR(VLOOKUP($A497,'Consolidate List'!$A$2:$P$1048576,12,FALSE),"")</f>
        <v/>
      </c>
      <c r="G497" t="str">
        <f>IFERROR(VLOOKUP($A497,'Consolidate List'!$A$2:$P$1048576,11,FALSE),"")</f>
        <v/>
      </c>
      <c r="H497" t="str">
        <f>IFERROR(VLOOKUP($A497,'Consolidate List'!$A$2:$P$1048576,9,FALSE),"")</f>
        <v/>
      </c>
      <c r="I497" t="str">
        <f>IFERROR(VLOOKUP($A497,'Consolidate List'!$A$2:$P$1048576,10,FALSE),"")</f>
        <v/>
      </c>
      <c r="J497" t="str">
        <f>IFERROR(_xlfn.CONCAT((VLOOKUP($A497,'Consolidate List'!$A$2:$P$1048576,5,FALSE)),", ",VLOOKUP($A497,'Consolidate List'!$A$2:$P$1048576,6,FALSE)),"")</f>
        <v/>
      </c>
      <c r="K497" t="str">
        <f>IFERROR(VLOOKUP($A497,'Consolidate List'!$A$2:$P$1048576,17,FALSE),"")</f>
        <v/>
      </c>
    </row>
    <row r="498" spans="1:11" x14ac:dyDescent="0.35">
      <c r="A498" t="str">
        <f>IFERROR(Tableau1[[#This Row],[ID Unique]],"")</f>
        <v/>
      </c>
      <c r="B498" t="str">
        <f>IFERROR(VLOOKUP($A498,'Consolidate List'!$A$2:$P$1048576,15,FALSE),"")</f>
        <v/>
      </c>
      <c r="C498" t="str">
        <f>IFERROR(VLOOKUP($A498,'Consolidate List'!$A$2:$P$1048576,16,FALSE),"")</f>
        <v/>
      </c>
      <c r="D498" t="str">
        <f>IFERROR(VLOOKUP($A498,'Consolidate List'!$A$2:$P$1048576,8,FALSE),"")</f>
        <v/>
      </c>
      <c r="F498" t="str">
        <f>IFERROR(VLOOKUP($A498,'Consolidate List'!$A$2:$P$1048576,12,FALSE),"")</f>
        <v/>
      </c>
      <c r="G498" t="str">
        <f>IFERROR(VLOOKUP($A498,'Consolidate List'!$A$2:$P$1048576,11,FALSE),"")</f>
        <v/>
      </c>
      <c r="H498" t="str">
        <f>IFERROR(VLOOKUP($A498,'Consolidate List'!$A$2:$P$1048576,9,FALSE),"")</f>
        <v/>
      </c>
      <c r="I498" t="str">
        <f>IFERROR(VLOOKUP($A498,'Consolidate List'!$A$2:$P$1048576,10,FALSE),"")</f>
        <v/>
      </c>
      <c r="J498" t="str">
        <f>IFERROR(_xlfn.CONCAT((VLOOKUP($A498,'Consolidate List'!$A$2:$P$1048576,5,FALSE)),", ",VLOOKUP($A498,'Consolidate List'!$A$2:$P$1048576,6,FALSE)),"")</f>
        <v/>
      </c>
      <c r="K498" t="str">
        <f>IFERROR(VLOOKUP($A498,'Consolidate List'!$A$2:$P$1048576,17,FALSE),"")</f>
        <v/>
      </c>
    </row>
    <row r="499" spans="1:11" x14ac:dyDescent="0.35">
      <c r="A499" t="str">
        <f>IFERROR(Tableau1[[#This Row],[ID Unique]],"")</f>
        <v/>
      </c>
      <c r="B499" t="str">
        <f>IFERROR(VLOOKUP($A499,'Consolidate List'!$A$2:$P$1048576,15,FALSE),"")</f>
        <v/>
      </c>
      <c r="C499" t="str">
        <f>IFERROR(VLOOKUP($A499,'Consolidate List'!$A$2:$P$1048576,16,FALSE),"")</f>
        <v/>
      </c>
      <c r="D499" t="str">
        <f>IFERROR(VLOOKUP($A499,'Consolidate List'!$A$2:$P$1048576,8,FALSE),"")</f>
        <v/>
      </c>
      <c r="F499" t="str">
        <f>IFERROR(VLOOKUP($A499,'Consolidate List'!$A$2:$P$1048576,12,FALSE),"")</f>
        <v/>
      </c>
      <c r="G499" t="str">
        <f>IFERROR(VLOOKUP($A499,'Consolidate List'!$A$2:$P$1048576,11,FALSE),"")</f>
        <v/>
      </c>
      <c r="H499" t="str">
        <f>IFERROR(VLOOKUP($A499,'Consolidate List'!$A$2:$P$1048576,9,FALSE),"")</f>
        <v/>
      </c>
      <c r="I499" t="str">
        <f>IFERROR(VLOOKUP($A499,'Consolidate List'!$A$2:$P$1048576,10,FALSE),"")</f>
        <v/>
      </c>
      <c r="J499" t="str">
        <f>IFERROR(_xlfn.CONCAT((VLOOKUP($A499,'Consolidate List'!$A$2:$P$1048576,5,FALSE)),", ",VLOOKUP($A499,'Consolidate List'!$A$2:$P$1048576,6,FALSE)),"")</f>
        <v/>
      </c>
      <c r="K499" t="str">
        <f>IFERROR(VLOOKUP($A499,'Consolidate List'!$A$2:$P$1048576,17,FALSE),"")</f>
        <v/>
      </c>
    </row>
    <row r="500" spans="1:11" x14ac:dyDescent="0.35">
      <c r="A500" t="str">
        <f>IFERROR(Tableau1[[#This Row],[ID Unique]],"")</f>
        <v/>
      </c>
      <c r="B500" t="str">
        <f>IFERROR(VLOOKUP($A500,'Consolidate List'!$A$2:$P$1048576,15,FALSE),"")</f>
        <v/>
      </c>
      <c r="C500" t="str">
        <f>IFERROR(VLOOKUP($A500,'Consolidate List'!$A$2:$P$1048576,16,FALSE),"")</f>
        <v/>
      </c>
      <c r="D500" t="str">
        <f>IFERROR(VLOOKUP($A500,'Consolidate List'!$A$2:$P$1048576,8,FALSE),"")</f>
        <v/>
      </c>
      <c r="F500" t="str">
        <f>IFERROR(VLOOKUP($A500,'Consolidate List'!$A$2:$P$1048576,12,FALSE),"")</f>
        <v/>
      </c>
      <c r="G500" t="str">
        <f>IFERROR(VLOOKUP($A500,'Consolidate List'!$A$2:$P$1048576,11,FALSE),"")</f>
        <v/>
      </c>
      <c r="H500" t="str">
        <f>IFERROR(VLOOKUP($A500,'Consolidate List'!$A$2:$P$1048576,9,FALSE),"")</f>
        <v/>
      </c>
      <c r="I500" t="str">
        <f>IFERROR(VLOOKUP($A500,'Consolidate List'!$A$2:$P$1048576,10,FALSE),"")</f>
        <v/>
      </c>
      <c r="J500" t="str">
        <f>IFERROR(_xlfn.CONCAT((VLOOKUP($A500,'Consolidate List'!$A$2:$P$1048576,5,FALSE)),", ",VLOOKUP($A500,'Consolidate List'!$A$2:$P$1048576,6,FALSE)),"")</f>
        <v/>
      </c>
      <c r="K500" t="str">
        <f>IFERROR(VLOOKUP($A500,'Consolidate List'!$A$2:$P$1048576,17,FALSE),"")</f>
        <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BE7B8-079A-4097-BC41-2A18DCC4073A}">
  <dimension ref="A3:E37"/>
  <sheetViews>
    <sheetView topLeftCell="A7" zoomScaleNormal="100" workbookViewId="0">
      <selection activeCell="H15" sqref="H15"/>
    </sheetView>
  </sheetViews>
  <sheetFormatPr baseColWidth="10" defaultColWidth="11.453125" defaultRowHeight="14.5" x14ac:dyDescent="0.35"/>
  <cols>
    <col min="1" max="1" width="20.1796875" bestFit="1" customWidth="1"/>
    <col min="2" max="2" width="14.453125" bestFit="1" customWidth="1"/>
    <col min="3" max="4" width="15.1796875" bestFit="1" customWidth="1"/>
    <col min="5" max="5" width="12" bestFit="1" customWidth="1"/>
    <col min="6" max="6" width="9.1796875" bestFit="1" customWidth="1"/>
    <col min="7" max="7" width="6" bestFit="1" customWidth="1"/>
    <col min="8" max="8" width="12" bestFit="1" customWidth="1"/>
  </cols>
  <sheetData>
    <row r="3" spans="1:5" x14ac:dyDescent="0.35">
      <c r="A3" s="13" t="s">
        <v>11</v>
      </c>
      <c r="C3" s="13" t="s">
        <v>12</v>
      </c>
    </row>
    <row r="4" spans="1:5" x14ac:dyDescent="0.35">
      <c r="A4" s="14" t="s">
        <v>13</v>
      </c>
      <c r="B4" s="14" t="s">
        <v>14</v>
      </c>
      <c r="C4" s="15" t="s">
        <v>15</v>
      </c>
      <c r="D4" s="15" t="s">
        <v>16</v>
      </c>
      <c r="E4" s="15" t="s">
        <v>17</v>
      </c>
    </row>
    <row r="5" spans="1:5" x14ac:dyDescent="0.35">
      <c r="A5" t="s">
        <v>18</v>
      </c>
    </row>
    <row r="6" spans="1:5" x14ac:dyDescent="0.35">
      <c r="B6" t="s">
        <v>19</v>
      </c>
      <c r="D6">
        <v>4</v>
      </c>
      <c r="E6">
        <v>4</v>
      </c>
    </row>
    <row r="7" spans="1:5" x14ac:dyDescent="0.35">
      <c r="B7" t="s">
        <v>20</v>
      </c>
      <c r="D7">
        <v>1</v>
      </c>
      <c r="E7">
        <v>1</v>
      </c>
    </row>
    <row r="8" spans="1:5" x14ac:dyDescent="0.35">
      <c r="B8" t="s">
        <v>21</v>
      </c>
      <c r="C8">
        <v>2</v>
      </c>
      <c r="D8">
        <v>28</v>
      </c>
      <c r="E8">
        <v>30</v>
      </c>
    </row>
    <row r="9" spans="1:5" x14ac:dyDescent="0.35">
      <c r="A9" t="s">
        <v>22</v>
      </c>
      <c r="C9">
        <v>2</v>
      </c>
      <c r="D9">
        <v>33</v>
      </c>
      <c r="E9">
        <v>35</v>
      </c>
    </row>
    <row r="11" spans="1:5" x14ac:dyDescent="0.35">
      <c r="A11" t="s">
        <v>23</v>
      </c>
    </row>
    <row r="12" spans="1:5" x14ac:dyDescent="0.35">
      <c r="B12" t="s">
        <v>24</v>
      </c>
      <c r="C12">
        <v>1</v>
      </c>
      <c r="D12">
        <v>7</v>
      </c>
      <c r="E12">
        <v>8</v>
      </c>
    </row>
    <row r="13" spans="1:5" x14ac:dyDescent="0.35">
      <c r="B13" t="s">
        <v>25</v>
      </c>
      <c r="C13">
        <v>1</v>
      </c>
      <c r="D13">
        <v>9</v>
      </c>
      <c r="E13">
        <v>10</v>
      </c>
    </row>
    <row r="14" spans="1:5" x14ac:dyDescent="0.35">
      <c r="B14" t="s">
        <v>26</v>
      </c>
      <c r="D14">
        <v>3</v>
      </c>
      <c r="E14">
        <v>3</v>
      </c>
    </row>
    <row r="15" spans="1:5" x14ac:dyDescent="0.35">
      <c r="B15" t="s">
        <v>27</v>
      </c>
      <c r="D15">
        <v>6</v>
      </c>
      <c r="E15">
        <v>6</v>
      </c>
    </row>
    <row r="16" spans="1:5" x14ac:dyDescent="0.35">
      <c r="B16" t="s">
        <v>28</v>
      </c>
      <c r="C16">
        <v>4</v>
      </c>
      <c r="D16">
        <v>1</v>
      </c>
      <c r="E16">
        <v>5</v>
      </c>
    </row>
    <row r="17" spans="1:5" x14ac:dyDescent="0.35">
      <c r="A17" t="s">
        <v>29</v>
      </c>
      <c r="C17">
        <v>6</v>
      </c>
      <c r="D17">
        <v>26</v>
      </c>
      <c r="E17">
        <v>32</v>
      </c>
    </row>
    <row r="19" spans="1:5" x14ac:dyDescent="0.35">
      <c r="A19" t="s">
        <v>30</v>
      </c>
    </row>
    <row r="20" spans="1:5" x14ac:dyDescent="0.35">
      <c r="B20" t="s">
        <v>31</v>
      </c>
      <c r="C20">
        <v>11</v>
      </c>
      <c r="D20">
        <v>8</v>
      </c>
      <c r="E20">
        <v>19</v>
      </c>
    </row>
    <row r="21" spans="1:5" x14ac:dyDescent="0.35">
      <c r="B21" t="s">
        <v>32</v>
      </c>
      <c r="C21">
        <v>1</v>
      </c>
      <c r="D21">
        <v>5</v>
      </c>
      <c r="E21">
        <v>6</v>
      </c>
    </row>
    <row r="22" spans="1:5" x14ac:dyDescent="0.35">
      <c r="B22" t="s">
        <v>33</v>
      </c>
      <c r="D22">
        <v>1</v>
      </c>
      <c r="E22">
        <v>1</v>
      </c>
    </row>
    <row r="23" spans="1:5" x14ac:dyDescent="0.35">
      <c r="B23" t="s">
        <v>34</v>
      </c>
      <c r="D23">
        <v>1</v>
      </c>
      <c r="E23">
        <v>1</v>
      </c>
    </row>
    <row r="24" spans="1:5" x14ac:dyDescent="0.35">
      <c r="B24" t="s">
        <v>35</v>
      </c>
      <c r="D24">
        <v>1</v>
      </c>
      <c r="E24">
        <v>1</v>
      </c>
    </row>
    <row r="25" spans="1:5" x14ac:dyDescent="0.35">
      <c r="B25" t="s">
        <v>36</v>
      </c>
      <c r="C25">
        <v>2</v>
      </c>
      <c r="D25">
        <v>5</v>
      </c>
      <c r="E25">
        <v>7</v>
      </c>
    </row>
    <row r="26" spans="1:5" x14ac:dyDescent="0.35">
      <c r="B26" t="s">
        <v>37</v>
      </c>
      <c r="C26">
        <v>2</v>
      </c>
      <c r="E26">
        <v>2</v>
      </c>
    </row>
    <row r="27" spans="1:5" x14ac:dyDescent="0.35">
      <c r="B27" t="s">
        <v>38</v>
      </c>
      <c r="D27">
        <v>1</v>
      </c>
      <c r="E27">
        <v>1</v>
      </c>
    </row>
    <row r="28" spans="1:5" x14ac:dyDescent="0.35">
      <c r="B28" t="s">
        <v>39</v>
      </c>
      <c r="D28">
        <v>1</v>
      </c>
      <c r="E28">
        <v>1</v>
      </c>
    </row>
    <row r="29" spans="1:5" x14ac:dyDescent="0.35">
      <c r="B29" t="s">
        <v>40</v>
      </c>
      <c r="D29">
        <v>1</v>
      </c>
      <c r="E29">
        <v>1</v>
      </c>
    </row>
    <row r="30" spans="1:5" x14ac:dyDescent="0.35">
      <c r="B30" t="s">
        <v>41</v>
      </c>
      <c r="D30">
        <v>1</v>
      </c>
      <c r="E30">
        <v>1</v>
      </c>
    </row>
    <row r="31" spans="1:5" x14ac:dyDescent="0.35">
      <c r="B31" t="s">
        <v>42</v>
      </c>
      <c r="D31">
        <v>1</v>
      </c>
      <c r="E31">
        <v>1</v>
      </c>
    </row>
    <row r="32" spans="1:5" x14ac:dyDescent="0.35">
      <c r="B32" t="s">
        <v>43</v>
      </c>
      <c r="D32">
        <v>1</v>
      </c>
      <c r="E32">
        <v>1</v>
      </c>
    </row>
    <row r="33" spans="1:5" x14ac:dyDescent="0.35">
      <c r="B33" t="s">
        <v>44</v>
      </c>
      <c r="D33">
        <v>1</v>
      </c>
      <c r="E33">
        <v>1</v>
      </c>
    </row>
    <row r="34" spans="1:5" x14ac:dyDescent="0.35">
      <c r="B34" t="s">
        <v>45</v>
      </c>
      <c r="D34">
        <v>6</v>
      </c>
      <c r="E34">
        <v>6</v>
      </c>
    </row>
    <row r="35" spans="1:5" x14ac:dyDescent="0.35">
      <c r="A35" t="s">
        <v>46</v>
      </c>
      <c r="C35">
        <v>16</v>
      </c>
      <c r="D35">
        <v>34</v>
      </c>
      <c r="E35">
        <v>50</v>
      </c>
    </row>
    <row r="37" spans="1:5" x14ac:dyDescent="0.35">
      <c r="A37" t="s">
        <v>17</v>
      </c>
      <c r="C37">
        <v>24</v>
      </c>
      <c r="D37">
        <v>93</v>
      </c>
      <c r="E37">
        <v>117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8F851-5123-4E60-BEC4-7118A885FDF7}">
  <sheetPr codeName="Feuil1">
    <tabColor rgb="FFC00000"/>
  </sheetPr>
  <dimension ref="A1:P181"/>
  <sheetViews>
    <sheetView tabSelected="1" topLeftCell="B1" zoomScaleNormal="100" workbookViewId="0">
      <selection activeCell="G181" sqref="G181"/>
    </sheetView>
  </sheetViews>
  <sheetFormatPr baseColWidth="10" defaultColWidth="11.453125" defaultRowHeight="14.5" x14ac:dyDescent="0.35"/>
  <cols>
    <col min="1" max="1" width="15.453125" hidden="1" customWidth="1"/>
    <col min="2" max="2" width="5.54296875" bestFit="1" customWidth="1"/>
    <col min="3" max="3" width="6.453125" bestFit="1" customWidth="1"/>
    <col min="4" max="4" width="14.81640625" bestFit="1" customWidth="1"/>
    <col min="5" max="5" width="17.453125" hidden="1" customWidth="1"/>
    <col min="6" max="6" width="17.54296875" customWidth="1"/>
    <col min="7" max="7" width="28.453125" customWidth="1"/>
    <col min="8" max="8" width="23.81640625" customWidth="1"/>
    <col min="9" max="9" width="59.7265625" customWidth="1"/>
    <col min="10" max="10" width="31.36328125" bestFit="1" customWidth="1"/>
    <col min="11" max="11" width="29.453125" bestFit="1" customWidth="1"/>
    <col min="12" max="12" width="20.54296875" bestFit="1" customWidth="1"/>
    <col min="13" max="13" width="17.1796875" bestFit="1" customWidth="1"/>
    <col min="14" max="14" width="18.1796875" bestFit="1" customWidth="1"/>
    <col min="15" max="15" width="19.1796875" bestFit="1" customWidth="1"/>
    <col min="16" max="16" width="40.1796875" bestFit="1" customWidth="1"/>
  </cols>
  <sheetData>
    <row r="1" spans="1:16" x14ac:dyDescent="0.35">
      <c r="A1" s="1" t="s">
        <v>0</v>
      </c>
      <c r="B1" s="1" t="s">
        <v>13</v>
      </c>
      <c r="C1" s="1" t="s">
        <v>47</v>
      </c>
      <c r="D1" s="1" t="s">
        <v>14</v>
      </c>
      <c r="E1" s="1" t="s">
        <v>48</v>
      </c>
      <c r="F1" s="1" t="s">
        <v>49</v>
      </c>
      <c r="G1" s="1" t="s">
        <v>50</v>
      </c>
      <c r="H1" s="1" t="s">
        <v>51</v>
      </c>
      <c r="I1" s="1" t="s">
        <v>8</v>
      </c>
      <c r="J1" s="17" t="s">
        <v>52</v>
      </c>
      <c r="K1" s="1" t="s">
        <v>12</v>
      </c>
      <c r="L1" s="1" t="s">
        <v>53</v>
      </c>
      <c r="M1" s="1" t="s">
        <v>54</v>
      </c>
      <c r="N1" s="1" t="s">
        <v>1</v>
      </c>
      <c r="O1" s="1" t="s">
        <v>2</v>
      </c>
      <c r="P1" s="1" t="s">
        <v>55</v>
      </c>
    </row>
    <row r="2" spans="1:16" hidden="1" x14ac:dyDescent="0.35">
      <c r="A2" t="str">
        <f>UPPER(_xlfn.CONCAT(LEFT(Tableau1[[#This Row],[Supplier]],2),LEFT(Tableau1[[#This Row],[City Area]],2),LEFT(Tableau1[[#This Row],[Datacenter name (supplier code)]],4),LEFT(Tableau1[[#This Row],[Country]],2),RIGHT(Tableau1[[#This Row],[Datacenter name (supplier code)]],2)))</f>
        <v>CIBUBUE1ARE1</v>
      </c>
      <c r="B2" t="s">
        <v>18</v>
      </c>
      <c r="C2" t="s">
        <v>56</v>
      </c>
      <c r="D2" t="s">
        <v>57</v>
      </c>
      <c r="E2" t="s">
        <v>58</v>
      </c>
      <c r="F2" t="s">
        <v>58</v>
      </c>
      <c r="G2" t="s">
        <v>59</v>
      </c>
      <c r="H2" t="s">
        <v>60</v>
      </c>
      <c r="I2" t="s">
        <v>61</v>
      </c>
      <c r="J2" t="s">
        <v>62</v>
      </c>
      <c r="K2" t="s">
        <v>63</v>
      </c>
      <c r="L2" t="str">
        <f>IF(OR(Tableau1[[#This Row],[Type of DC]]="1 - Major",Tableau1[[#This Row],[Type of DC]]="2 - Opportunistic",Tableau1[[#This Row],[Type of DC]]="6 - Catalog"),"OUI","NON")</f>
        <v>NON</v>
      </c>
      <c r="M2" t="s">
        <v>64</v>
      </c>
      <c r="N2" t="s">
        <v>65</v>
      </c>
      <c r="O2" t="s">
        <v>66</v>
      </c>
    </row>
    <row r="3" spans="1:16" hidden="1" x14ac:dyDescent="0.35">
      <c r="A3" t="str">
        <f>UPPER(_xlfn.CONCAT(LEFT(Tableau1[[#This Row],[Supplier]],2),LEFT(Tableau1[[#This Row],[City Area]],2),LEFT(Tableau1[[#This Row],[Datacenter name (supplier code)]],4),LEFT(Tableau1[[#This Row],[Country]],2),RIGHT(Tableau1[[#This Row],[Datacenter name (supplier code)]],2)))</f>
        <v>EQSYNORTAU01</v>
      </c>
      <c r="B3" t="s">
        <v>23</v>
      </c>
      <c r="C3" t="s">
        <v>23</v>
      </c>
      <c r="D3" t="s">
        <v>24</v>
      </c>
      <c r="E3" t="s">
        <v>68</v>
      </c>
      <c r="F3" t="s">
        <v>68</v>
      </c>
      <c r="G3" t="s">
        <v>69</v>
      </c>
      <c r="H3" t="s">
        <v>70</v>
      </c>
      <c r="I3" t="s">
        <v>71</v>
      </c>
      <c r="J3" t="s">
        <v>72</v>
      </c>
      <c r="K3" t="s">
        <v>73</v>
      </c>
      <c r="L3" t="str">
        <f>IF(OR(Tableau1[[#This Row],[Type of DC]]="1 - Major",Tableau1[[#This Row],[Type of DC]]="2 - Opportunistic",Tableau1[[#This Row],[Type of DC]]="6 - Catalog"),"OUI","NON")</f>
        <v>NON</v>
      </c>
      <c r="M3" t="s">
        <v>74</v>
      </c>
      <c r="N3" t="s">
        <v>75</v>
      </c>
      <c r="O3" t="s">
        <v>76</v>
      </c>
    </row>
    <row r="4" spans="1:16" hidden="1" x14ac:dyDescent="0.35">
      <c r="A4" t="str">
        <f>UPPER(_xlfn.CONCAT(LEFT(Tableau1[[#This Row],[Supplier]],2),LEFT(Tableau1[[#This Row],[City Area]],2),LEFT(Tableau1[[#This Row],[Datacenter name (supplier code)]],4),LEFT(Tableau1[[#This Row],[Country]],2),RIGHT(Tableau1[[#This Row],[Datacenter name (supplier code)]],2)))</f>
        <v>EQSASP4BRP4</v>
      </c>
      <c r="B4" t="s">
        <v>18</v>
      </c>
      <c r="C4" t="s">
        <v>56</v>
      </c>
      <c r="D4" t="s">
        <v>19</v>
      </c>
      <c r="E4" t="s">
        <v>135</v>
      </c>
      <c r="F4" t="s">
        <v>135</v>
      </c>
      <c r="G4" t="s">
        <v>78</v>
      </c>
      <c r="H4" s="7" t="s">
        <v>136</v>
      </c>
      <c r="I4" t="s">
        <v>137</v>
      </c>
      <c r="J4" t="s">
        <v>138</v>
      </c>
      <c r="K4" t="s">
        <v>16</v>
      </c>
      <c r="L4" t="str">
        <f>IF(OR(Tableau1[[#This Row],[Type of DC]]="1 - Major",Tableau1[[#This Row],[Type of DC]]="2 - Opportunistic",Tableau1[[#This Row],[Type of DC]]="6 - Catalog"),"OUI","NON")</f>
        <v>OUI</v>
      </c>
      <c r="M4" t="s">
        <v>64</v>
      </c>
      <c r="N4" t="s">
        <v>139</v>
      </c>
      <c r="O4" t="s">
        <v>140</v>
      </c>
      <c r="P4" t="s">
        <v>141</v>
      </c>
    </row>
    <row r="5" spans="1:16" hidden="1" x14ac:dyDescent="0.35">
      <c r="A5" t="str">
        <f>UPPER(_xlfn.CONCAT(LEFT(Tableau1[[#This Row],[Supplier]],2),LEFT(Tableau1[[#This Row],[City Area]],2),LEFT(Tableau1[[#This Row],[Datacenter name (supplier code)]],4),LEFT(Tableau1[[#This Row],[Country]],2),RIGHT(Tableau1[[#This Row],[Datacenter name (supplier code)]],2)))</f>
        <v>EQRIRJ1BRJ1</v>
      </c>
      <c r="B5" t="s">
        <v>18</v>
      </c>
      <c r="C5" t="s">
        <v>56</v>
      </c>
      <c r="D5" t="s">
        <v>19</v>
      </c>
      <c r="E5" t="s">
        <v>148</v>
      </c>
      <c r="F5" t="s">
        <v>148</v>
      </c>
      <c r="G5" t="s">
        <v>78</v>
      </c>
      <c r="H5" s="9" t="s">
        <v>87</v>
      </c>
      <c r="I5" t="s">
        <v>155</v>
      </c>
      <c r="J5" t="s">
        <v>156</v>
      </c>
      <c r="K5" t="s">
        <v>16</v>
      </c>
      <c r="L5" t="str">
        <f>IF(OR(Tableau1[[#This Row],[Type of DC]]="1 - Major",Tableau1[[#This Row],[Type of DC]]="2 - Opportunistic",Tableau1[[#This Row],[Type of DC]]="6 - Catalog"),"OUI","NON")</f>
        <v>OUI</v>
      </c>
      <c r="M5" t="s">
        <v>64</v>
      </c>
      <c r="N5" t="s">
        <v>157</v>
      </c>
      <c r="O5" t="s">
        <v>158</v>
      </c>
      <c r="P5" t="s">
        <v>141</v>
      </c>
    </row>
    <row r="6" spans="1:16" hidden="1" x14ac:dyDescent="0.35">
      <c r="A6" t="str">
        <f>UPPER(_xlfn.CONCAT(LEFT(Tableau1[[#This Row],[Supplier]],2),LEFT(Tableau1[[#This Row],[City Area]],2),LEFT(Tableau1[[#This Row],[Datacenter name (supplier code)]],4),LEFT(Tableau1[[#This Row],[Country]],2),RIGHT(Tableau1[[#This Row],[Datacenter name (supplier code)]],2)))</f>
        <v>VOBEVDC-AU02</v>
      </c>
      <c r="B6" t="s">
        <v>23</v>
      </c>
      <c r="C6" t="s">
        <v>23</v>
      </c>
      <c r="D6" t="s">
        <v>24</v>
      </c>
      <c r="E6" t="s">
        <v>92</v>
      </c>
      <c r="F6" t="s">
        <v>93</v>
      </c>
      <c r="G6" t="s">
        <v>94</v>
      </c>
      <c r="H6" s="9" t="s">
        <v>87</v>
      </c>
      <c r="I6" t="s">
        <v>95</v>
      </c>
      <c r="J6" t="s">
        <v>96</v>
      </c>
      <c r="K6" t="s">
        <v>63</v>
      </c>
      <c r="L6" t="str">
        <f>IF(OR(Tableau1[[#This Row],[Type of DC]]="1 - Major",Tableau1[[#This Row],[Type of DC]]="2 - Opportunistic",Tableau1[[#This Row],[Type of DC]]="6 - Catalog"),"OUI","NON")</f>
        <v>NON</v>
      </c>
      <c r="M6" t="s">
        <v>74</v>
      </c>
      <c r="N6" t="s">
        <v>97</v>
      </c>
      <c r="O6" t="s">
        <v>98</v>
      </c>
    </row>
    <row r="7" spans="1:16" hidden="1" x14ac:dyDescent="0.35">
      <c r="A7" t="str">
        <f>UPPER(_xlfn.CONCAT(LEFT(Tableau1[[#This Row],[Supplier]],2),LEFT(Tableau1[[#This Row],[City Area]],2),LEFT(Tableau1[[#This Row],[Datacenter name (supplier code)]],4),LEFT(Tableau1[[#This Row],[Country]],2),RIGHT(Tableau1[[#This Row],[Datacenter name (supplier code)]],2)))</f>
        <v>EQSASP2BRP2</v>
      </c>
      <c r="B7" t="s">
        <v>18</v>
      </c>
      <c r="C7" t="s">
        <v>56</v>
      </c>
      <c r="D7" t="s">
        <v>19</v>
      </c>
      <c r="E7" t="s">
        <v>135</v>
      </c>
      <c r="F7" t="s">
        <v>135</v>
      </c>
      <c r="G7" t="s">
        <v>78</v>
      </c>
      <c r="H7" t="s">
        <v>164</v>
      </c>
      <c r="I7" t="s">
        <v>165</v>
      </c>
      <c r="J7" t="s">
        <v>166</v>
      </c>
      <c r="K7" t="s">
        <v>16</v>
      </c>
      <c r="L7" t="str">
        <f>IF(OR(Tableau1[[#This Row],[Type of DC]]="1 - Major",Tableau1[[#This Row],[Type of DC]]="2 - Opportunistic",Tableau1[[#This Row],[Type of DC]]="6 - Catalog"),"OUI","NON")</f>
        <v>OUI</v>
      </c>
      <c r="M7" t="s">
        <v>64</v>
      </c>
      <c r="N7" t="s">
        <v>167</v>
      </c>
      <c r="O7" t="s">
        <v>168</v>
      </c>
      <c r="P7" t="s">
        <v>141</v>
      </c>
    </row>
    <row r="8" spans="1:16" hidden="1" x14ac:dyDescent="0.35">
      <c r="A8" t="str">
        <f>UPPER(_xlfn.CONCAT(LEFT(Tableau1[[#This Row],[Supplier]],2),LEFT(Tableau1[[#This Row],[City Area]],2),LEFT(Tableau1[[#This Row],[Datacenter name (supplier code)]],4),LEFT(Tableau1[[#This Row],[Country]],2),RIGHT(Tableau1[[#This Row],[Datacenter name (supplier code)]],2)))</f>
        <v>EQSASP3BRP3</v>
      </c>
      <c r="B8" t="s">
        <v>18</v>
      </c>
      <c r="C8" t="s">
        <v>56</v>
      </c>
      <c r="D8" t="s">
        <v>19</v>
      </c>
      <c r="E8" t="s">
        <v>135</v>
      </c>
      <c r="F8" t="s">
        <v>135</v>
      </c>
      <c r="G8" t="s">
        <v>78</v>
      </c>
      <c r="H8" t="s">
        <v>175</v>
      </c>
      <c r="I8" t="s">
        <v>176</v>
      </c>
      <c r="J8" t="s">
        <v>177</v>
      </c>
      <c r="K8" t="s">
        <v>16</v>
      </c>
      <c r="L8" t="str">
        <f>IF(OR(Tableau1[[#This Row],[Type of DC]]="1 - Major",Tableau1[[#This Row],[Type of DC]]="2 - Opportunistic",Tableau1[[#This Row],[Type of DC]]="6 - Catalog"),"OUI","NON")</f>
        <v>OUI</v>
      </c>
      <c r="M8" t="s">
        <v>64</v>
      </c>
      <c r="N8" t="s">
        <v>178</v>
      </c>
      <c r="O8" t="s">
        <v>179</v>
      </c>
      <c r="P8" t="s">
        <v>141</v>
      </c>
    </row>
    <row r="9" spans="1:16" hidden="1" x14ac:dyDescent="0.35">
      <c r="A9" t="str">
        <f>UPPER(_xlfn.CONCAT(LEFT(Tableau1[[#This Row],[Supplier]],2),LEFT(Tableau1[[#This Row],[City Area]],2),LEFT(Tableau1[[#This Row],[Datacenter name (supplier code)]],4),LEFT(Tableau1[[#This Row],[Country]],2),RIGHT(Tableau1[[#This Row],[Datacenter name (supplier code)]],2)))</f>
        <v>ADSAADN COSE</v>
      </c>
      <c r="B9" t="s">
        <v>18</v>
      </c>
      <c r="C9" t="s">
        <v>56</v>
      </c>
      <c r="D9" t="s">
        <v>20</v>
      </c>
      <c r="E9" t="s">
        <v>267</v>
      </c>
      <c r="F9" t="s">
        <v>267</v>
      </c>
      <c r="G9" t="s">
        <v>268</v>
      </c>
      <c r="H9" t="s">
        <v>269</v>
      </c>
      <c r="I9" t="s">
        <v>270</v>
      </c>
      <c r="J9" t="s">
        <v>271</v>
      </c>
      <c r="K9" t="s">
        <v>16</v>
      </c>
      <c r="L9" t="str">
        <f>IF(OR(Tableau1[[#This Row],[Type of DC]]="1 - Major",Tableau1[[#This Row],[Type of DC]]="2 - Opportunistic",Tableau1[[#This Row],[Type of DC]]="6 - Catalog"),"OUI","NON")</f>
        <v>OUI</v>
      </c>
      <c r="M9" t="s">
        <v>64</v>
      </c>
      <c r="N9" t="s">
        <v>272</v>
      </c>
      <c r="O9" t="s">
        <v>273</v>
      </c>
      <c r="P9" s="12" t="s">
        <v>67</v>
      </c>
    </row>
    <row r="10" spans="1:16" hidden="1" x14ac:dyDescent="0.35">
      <c r="A10" t="str">
        <f>UPPER(_xlfn.CONCAT(LEFT(Tableau1[[#This Row],[Supplier]],2),LEFT(Tableau1[[#This Row],[City Area]],2),LEFT(Tableau1[[#This Row],[Datacenter name (supplier code)]],4),LEFT(Tableau1[[#This Row],[Country]],2),RIGHT(Tableau1[[#This Row],[Datacenter name (supplier code)]],2)))</f>
        <v>CODADAL3UNL3</v>
      </c>
      <c r="B10" t="s">
        <v>18</v>
      </c>
      <c r="C10" t="s">
        <v>531</v>
      </c>
      <c r="D10" t="s">
        <v>21</v>
      </c>
      <c r="E10" t="s">
        <v>532</v>
      </c>
      <c r="F10" t="s">
        <v>533</v>
      </c>
      <c r="G10" t="s">
        <v>534</v>
      </c>
      <c r="H10" s="7" t="s">
        <v>535</v>
      </c>
      <c r="I10" t="s">
        <v>536</v>
      </c>
      <c r="J10" t="s">
        <v>537</v>
      </c>
      <c r="K10" t="s">
        <v>16</v>
      </c>
      <c r="L10" t="str">
        <f>IF(OR(Tableau1[[#This Row],[Type of DC]]="1 - Major",Tableau1[[#This Row],[Type of DC]]="2 - Opportunistic",Tableau1[[#This Row],[Type of DC]]="6 - Catalog"),"OUI","NON")</f>
        <v>OUI</v>
      </c>
      <c r="M10" t="s">
        <v>538</v>
      </c>
      <c r="N10" t="s">
        <v>539</v>
      </c>
      <c r="O10" t="s">
        <v>540</v>
      </c>
      <c r="P10" t="s">
        <v>67</v>
      </c>
    </row>
    <row r="11" spans="1:16" hidden="1" x14ac:dyDescent="0.35">
      <c r="A11" t="str">
        <f>UPPER(_xlfn.CONCAT(LEFT(Tableau1[[#This Row],[Supplier]],2),LEFT(Tableau1[[#This Row],[City Area]],2),LEFT(Tableau1[[#This Row],[Datacenter name (supplier code)]],4),LEFT(Tableau1[[#This Row],[Country]],2),RIGHT(Tableau1[[#This Row],[Datacenter name (supplier code)]],2)))</f>
        <v>COMOMTL7CAL7</v>
      </c>
      <c r="B11" t="s">
        <v>18</v>
      </c>
      <c r="C11" t="s">
        <v>531</v>
      </c>
      <c r="D11" t="s">
        <v>590</v>
      </c>
      <c r="E11" t="s">
        <v>591</v>
      </c>
      <c r="F11" t="s">
        <v>592</v>
      </c>
      <c r="G11" t="s">
        <v>534</v>
      </c>
      <c r="H11" t="s">
        <v>593</v>
      </c>
      <c r="I11" t="s">
        <v>594</v>
      </c>
      <c r="J11" t="s">
        <v>595</v>
      </c>
      <c r="K11" t="s">
        <v>16</v>
      </c>
      <c r="L11" t="str">
        <f>IF(OR(Tableau1[[#This Row],[Type of DC]]="1 - Major",Tableau1[[#This Row],[Type of DC]]="2 - Opportunistic",Tableau1[[#This Row],[Type of DC]]="6 - Catalog"),"OUI","NON")</f>
        <v>OUI</v>
      </c>
      <c r="M11" t="s">
        <v>538</v>
      </c>
    </row>
    <row r="12" spans="1:16" hidden="1" x14ac:dyDescent="0.35">
      <c r="A12" t="str">
        <f>UPPER(_xlfn.CONCAT(LEFT(Tableau1[[#This Row],[Supplier]],2),LEFT(Tableau1[[#This Row],[City Area]],2),LEFT(Tableau1[[#This Row],[Datacenter name (supplier code)]],4),LEFT(Tableau1[[#This Row],[Country]],2),RIGHT(Tableau1[[#This Row],[Datacenter name (supplier code)]],2)))</f>
        <v>COTOTOR1CAR1</v>
      </c>
      <c r="B12" t="s">
        <v>18</v>
      </c>
      <c r="C12" t="s">
        <v>531</v>
      </c>
      <c r="D12" t="s">
        <v>590</v>
      </c>
      <c r="E12" t="s">
        <v>591</v>
      </c>
      <c r="F12" t="s">
        <v>596</v>
      </c>
      <c r="G12" t="s">
        <v>534</v>
      </c>
      <c r="H12" t="s">
        <v>593</v>
      </c>
      <c r="I12" t="s">
        <v>597</v>
      </c>
      <c r="J12" t="s">
        <v>598</v>
      </c>
      <c r="K12" t="s">
        <v>16</v>
      </c>
      <c r="L12" t="str">
        <f>IF(OR(Tableau1[[#This Row],[Type of DC]]="1 - Major",Tableau1[[#This Row],[Type of DC]]="2 - Opportunistic",Tableau1[[#This Row],[Type of DC]]="6 - Catalog"),"OUI","NON")</f>
        <v>OUI</v>
      </c>
      <c r="M12" t="s">
        <v>538</v>
      </c>
    </row>
    <row r="13" spans="1:16" hidden="1" x14ac:dyDescent="0.35">
      <c r="A13" t="str">
        <f>UPPER(_xlfn.CONCAT(LEFT(Tableau1[[#This Row],[Supplier]],2),LEFT(Tableau1[[#This Row],[City Area]],2),LEFT(Tableau1[[#This Row],[Datacenter name (supplier code)]],4),LEFT(Tableau1[[#This Row],[Country]],2),RIGHT(Tableau1[[#This Row],[Datacenter name (supplier code)]],2)))</f>
        <v>MOBRSTUABEDC</v>
      </c>
      <c r="B13" t="s">
        <v>30</v>
      </c>
      <c r="C13" t="s">
        <v>30</v>
      </c>
      <c r="D13" t="s">
        <v>126</v>
      </c>
      <c r="E13" t="s">
        <v>127</v>
      </c>
      <c r="F13" t="s">
        <v>127</v>
      </c>
      <c r="G13" t="s">
        <v>128</v>
      </c>
      <c r="H13" t="s">
        <v>129</v>
      </c>
      <c r="I13" t="s">
        <v>130</v>
      </c>
      <c r="J13" t="s">
        <v>131</v>
      </c>
      <c r="K13" t="s">
        <v>63</v>
      </c>
      <c r="L13" t="str">
        <f>IF(OR(Tableau1[[#This Row],[Type of DC]]="1 - Major",Tableau1[[#This Row],[Type of DC]]="2 - Opportunistic",Tableau1[[#This Row],[Type of DC]]="6 - Catalog"),"OUI","NON")</f>
        <v>NON</v>
      </c>
      <c r="M13" t="s">
        <v>132</v>
      </c>
      <c r="N13" t="s">
        <v>133</v>
      </c>
      <c r="O13" t="s">
        <v>134</v>
      </c>
    </row>
    <row r="14" spans="1:16" ht="29" hidden="1" x14ac:dyDescent="0.35">
      <c r="A14" t="str">
        <f>UPPER(_xlfn.CONCAT(LEFT(Tableau1[[#This Row],[Supplier]],2),LEFT(Tableau1[[#This Row],[City Area]],2),LEFT(Tableau1[[#This Row],[Datacenter name (supplier code)]],4),LEFT(Tableau1[[#This Row],[Country]],2),RIGHT(Tableau1[[#This Row],[Datacenter name (supplier code)]],2)))</f>
        <v>EQATAT1UNT1</v>
      </c>
      <c r="B14" t="s">
        <v>18</v>
      </c>
      <c r="C14" t="s">
        <v>531</v>
      </c>
      <c r="D14" t="s">
        <v>21</v>
      </c>
      <c r="E14" t="s">
        <v>607</v>
      </c>
      <c r="F14" t="s">
        <v>608</v>
      </c>
      <c r="G14" t="s">
        <v>78</v>
      </c>
      <c r="H14" s="10" t="s">
        <v>609</v>
      </c>
      <c r="I14" s="4" t="s">
        <v>610</v>
      </c>
      <c r="J14" t="s">
        <v>611</v>
      </c>
      <c r="K14" t="s">
        <v>16</v>
      </c>
      <c r="L14" t="str">
        <f>IF(OR(Tableau1[[#This Row],[Type of DC]]="1 - Major",Tableau1[[#This Row],[Type of DC]]="2 - Opportunistic",Tableau1[[#This Row],[Type of DC]]="6 - Catalog"),"OUI","NON")</f>
        <v>OUI</v>
      </c>
      <c r="M14" t="s">
        <v>538</v>
      </c>
      <c r="N14" t="s">
        <v>612</v>
      </c>
      <c r="O14" t="s">
        <v>613</v>
      </c>
      <c r="P14" t="s">
        <v>614</v>
      </c>
    </row>
    <row r="15" spans="1:16" hidden="1" x14ac:dyDescent="0.35">
      <c r="A15" t="str">
        <f>UPPER(_xlfn.CONCAT(LEFT(Tableau1[[#This Row],[Supplier]],2),LEFT(Tableau1[[#This Row],[City Area]],2),LEFT(Tableau1[[#This Row],[Datacenter name (supplier code)]],4),LEFT(Tableau1[[#This Row],[Country]],2),RIGHT(Tableau1[[#This Row],[Datacenter name (supplier code)]],2)))</f>
        <v>CISASAO1BRO1</v>
      </c>
      <c r="B15" t="s">
        <v>18</v>
      </c>
      <c r="C15" t="s">
        <v>56</v>
      </c>
      <c r="D15" t="s">
        <v>19</v>
      </c>
      <c r="E15" t="s">
        <v>135</v>
      </c>
      <c r="F15" t="s">
        <v>135</v>
      </c>
      <c r="G15" t="s">
        <v>142</v>
      </c>
      <c r="H15" t="s">
        <v>143</v>
      </c>
      <c r="I15" t="s">
        <v>144</v>
      </c>
      <c r="J15" t="s">
        <v>145</v>
      </c>
      <c r="K15" t="s">
        <v>63</v>
      </c>
      <c r="L15" t="str">
        <f>IF(OR(Tableau1[[#This Row],[Type of DC]]="1 - Major",Tableau1[[#This Row],[Type of DC]]="2 - Opportunistic",Tableau1[[#This Row],[Type of DC]]="6 - Catalog"),"OUI","NON")</f>
        <v>NON</v>
      </c>
      <c r="M15" t="s">
        <v>64</v>
      </c>
      <c r="N15" t="s">
        <v>146</v>
      </c>
      <c r="O15" t="s">
        <v>147</v>
      </c>
    </row>
    <row r="16" spans="1:16" hidden="1" x14ac:dyDescent="0.35">
      <c r="A16" t="str">
        <f>UPPER(_xlfn.CONCAT(LEFT(Tableau1[[#This Row],[Supplier]],2),LEFT(Tableau1[[#This Row],[City Area]],2),LEFT(Tableau1[[#This Row],[Datacenter name (supplier code)]],4),LEFT(Tableau1[[#This Row],[Country]],2),RIGHT(Tableau1[[#This Row],[Datacenter name (supplier code)]],2)))</f>
        <v>EMRIEMBRBRIO</v>
      </c>
      <c r="B16" t="s">
        <v>18</v>
      </c>
      <c r="C16" t="s">
        <v>56</v>
      </c>
      <c r="D16" t="s">
        <v>19</v>
      </c>
      <c r="E16" t="s">
        <v>148</v>
      </c>
      <c r="F16" t="s">
        <v>148</v>
      </c>
      <c r="G16" t="s">
        <v>149</v>
      </c>
      <c r="H16" t="s">
        <v>150</v>
      </c>
      <c r="I16" t="s">
        <v>151</v>
      </c>
      <c r="J16" t="s">
        <v>152</v>
      </c>
      <c r="K16" t="s">
        <v>63</v>
      </c>
      <c r="L16" t="str">
        <f>IF(OR(Tableau1[[#This Row],[Type of DC]]="1 - Major",Tableau1[[#This Row],[Type of DC]]="2 - Opportunistic",Tableau1[[#This Row],[Type of DC]]="6 - Catalog"),"OUI","NON")</f>
        <v>NON</v>
      </c>
      <c r="M16" t="s">
        <v>64</v>
      </c>
      <c r="N16" t="s">
        <v>153</v>
      </c>
      <c r="O16" t="s">
        <v>154</v>
      </c>
    </row>
    <row r="17" spans="1:16" ht="29" hidden="1" x14ac:dyDescent="0.35">
      <c r="A17" t="str">
        <f>UPPER(_xlfn.CONCAT(LEFT(Tableau1[[#This Row],[Supplier]],2),LEFT(Tableau1[[#This Row],[City Area]],2),LEFT(Tableau1[[#This Row],[Datacenter name (supplier code)]],4),LEFT(Tableau1[[#This Row],[Country]],2),RIGHT(Tableau1[[#This Row],[Datacenter name (supplier code)]],2)))</f>
        <v>EQCHCH1UNH1</v>
      </c>
      <c r="B17" t="s">
        <v>18</v>
      </c>
      <c r="C17" t="s">
        <v>531</v>
      </c>
      <c r="D17" t="s">
        <v>21</v>
      </c>
      <c r="E17" t="s">
        <v>758</v>
      </c>
      <c r="F17" t="s">
        <v>759</v>
      </c>
      <c r="G17" t="s">
        <v>78</v>
      </c>
      <c r="H17" s="8" t="s">
        <v>760</v>
      </c>
      <c r="I17" s="4" t="s">
        <v>761</v>
      </c>
      <c r="J17" t="s">
        <v>361</v>
      </c>
      <c r="K17" t="s">
        <v>16</v>
      </c>
      <c r="L17" t="str">
        <f>IF(OR(Tableau1[[#This Row],[Type of DC]]="1 - Major",Tableau1[[#This Row],[Type of DC]]="2 - Opportunistic",Tableau1[[#This Row],[Type of DC]]="6 - Catalog"),"OUI","NON")</f>
        <v>OUI</v>
      </c>
      <c r="M17" t="s">
        <v>538</v>
      </c>
      <c r="N17" t="s">
        <v>762</v>
      </c>
      <c r="O17" t="s">
        <v>763</v>
      </c>
      <c r="P17" t="s">
        <v>614</v>
      </c>
    </row>
    <row r="18" spans="1:16" hidden="1" x14ac:dyDescent="0.35">
      <c r="A18" t="str">
        <f>UPPER(_xlfn.CONCAT(LEFT(Tableau1[[#This Row],[Supplier]],2),LEFT(Tableau1[[#This Row],[City Area]],2),LEFT(Tableau1[[#This Row],[Datacenter name (supplier code)]],4),LEFT(Tableau1[[#This Row],[Country]],2),RIGHT(Tableau1[[#This Row],[Datacenter name (supplier code)]],2)))</f>
        <v>SYSASYDEBRLO</v>
      </c>
      <c r="B18" t="s">
        <v>18</v>
      </c>
      <c r="C18" t="s">
        <v>56</v>
      </c>
      <c r="D18" t="s">
        <v>19</v>
      </c>
      <c r="E18" t="s">
        <v>135</v>
      </c>
      <c r="F18" t="s">
        <v>135</v>
      </c>
      <c r="G18" t="s">
        <v>159</v>
      </c>
      <c r="H18" s="9" t="s">
        <v>87</v>
      </c>
      <c r="I18" t="s">
        <v>160</v>
      </c>
      <c r="J18" t="s">
        <v>161</v>
      </c>
      <c r="K18" t="s">
        <v>73</v>
      </c>
      <c r="L18" t="str">
        <f>IF(OR(Tableau1[[#This Row],[Type of DC]]="1 - Major",Tableau1[[#This Row],[Type of DC]]="2 - Opportunistic",Tableau1[[#This Row],[Type of DC]]="6 - Catalog"),"OUI","NON")</f>
        <v>NON</v>
      </c>
      <c r="M18" t="s">
        <v>64</v>
      </c>
      <c r="N18" t="s">
        <v>162</v>
      </c>
      <c r="O18" t="s">
        <v>163</v>
      </c>
    </row>
    <row r="19" spans="1:16" ht="29" hidden="1" x14ac:dyDescent="0.35">
      <c r="A19" t="str">
        <f>UPPER(_xlfn.CONCAT(LEFT(Tableau1[[#This Row],[Supplier]],2),LEFT(Tableau1[[#This Row],[City Area]],2),LEFT(Tableau1[[#This Row],[Datacenter name (supplier code)]],4),LEFT(Tableau1[[#This Row],[Country]],2),RIGHT(Tableau1[[#This Row],[Datacenter name (supplier code)]],2)))</f>
        <v>EQCHCH2UNH2</v>
      </c>
      <c r="B19" t="s">
        <v>18</v>
      </c>
      <c r="C19" t="s">
        <v>531</v>
      </c>
      <c r="D19" t="s">
        <v>21</v>
      </c>
      <c r="E19" t="s">
        <v>758</v>
      </c>
      <c r="F19" t="s">
        <v>759</v>
      </c>
      <c r="G19" t="s">
        <v>78</v>
      </c>
      <c r="H19" s="8" t="s">
        <v>764</v>
      </c>
      <c r="I19" s="4" t="s">
        <v>765</v>
      </c>
      <c r="J19" t="s">
        <v>766</v>
      </c>
      <c r="K19" t="s">
        <v>16</v>
      </c>
      <c r="L19" t="str">
        <f>IF(OR(Tableau1[[#This Row],[Type of DC]]="1 - Major",Tableau1[[#This Row],[Type of DC]]="2 - Opportunistic",Tableau1[[#This Row],[Type of DC]]="6 - Catalog"),"OUI","NON")</f>
        <v>OUI</v>
      </c>
      <c r="M19" t="s">
        <v>538</v>
      </c>
      <c r="N19" t="s">
        <v>762</v>
      </c>
      <c r="O19" t="s">
        <v>763</v>
      </c>
      <c r="P19" t="s">
        <v>614</v>
      </c>
    </row>
    <row r="20" spans="1:16" hidden="1" x14ac:dyDescent="0.35">
      <c r="A20" t="str">
        <f>UPPER(_xlfn.CONCAT(LEFT(Tableau1[[#This Row],[Supplier]],2),LEFT(Tableau1[[#This Row],[City Area]],2),LEFT(Tableau1[[#This Row],[Datacenter name (supplier code)]],4),LEFT(Tableau1[[#This Row],[Country]],2),RIGHT(Tableau1[[#This Row],[Datacenter name (supplier code)]],2)))</f>
        <v>TESATELEBRLO</v>
      </c>
      <c r="B20" t="s">
        <v>18</v>
      </c>
      <c r="C20" t="s">
        <v>56</v>
      </c>
      <c r="D20" t="s">
        <v>19</v>
      </c>
      <c r="E20" t="s">
        <v>135</v>
      </c>
      <c r="F20" t="s">
        <v>135</v>
      </c>
      <c r="G20" t="s">
        <v>169</v>
      </c>
      <c r="H20" s="7" t="s">
        <v>170</v>
      </c>
      <c r="I20" t="s">
        <v>171</v>
      </c>
      <c r="J20" t="s">
        <v>172</v>
      </c>
      <c r="K20" t="s">
        <v>73</v>
      </c>
      <c r="L20" t="str">
        <f>IF(OR(Tableau1[[#This Row],[Type of DC]]="1 - Major",Tableau1[[#This Row],[Type of DC]]="2 - Opportunistic",Tableau1[[#This Row],[Type of DC]]="6 - Catalog"),"OUI","NON")</f>
        <v>NON</v>
      </c>
      <c r="M20" t="s">
        <v>64</v>
      </c>
      <c r="N20" t="s">
        <v>173</v>
      </c>
      <c r="O20" t="s">
        <v>174</v>
      </c>
    </row>
    <row r="21" spans="1:16" ht="29" hidden="1" x14ac:dyDescent="0.35">
      <c r="A21" t="str">
        <f>UPPER(_xlfn.CONCAT(LEFT(Tableau1[[#This Row],[Supplier]],2),LEFT(Tableau1[[#This Row],[City Area]],2),LEFT(Tableau1[[#This Row],[Datacenter name (supplier code)]],4),LEFT(Tableau1[[#This Row],[Country]],2),RIGHT(Tableau1[[#This Row],[Datacenter name (supplier code)]],2)))</f>
        <v>EQCHCH4UNH4</v>
      </c>
      <c r="B21" t="s">
        <v>18</v>
      </c>
      <c r="C21" t="s">
        <v>531</v>
      </c>
      <c r="D21" t="s">
        <v>21</v>
      </c>
      <c r="E21" t="s">
        <v>758</v>
      </c>
      <c r="F21" t="s">
        <v>759</v>
      </c>
      <c r="G21" t="s">
        <v>78</v>
      </c>
      <c r="H21" s="8" t="s">
        <v>772</v>
      </c>
      <c r="I21" s="4" t="s">
        <v>773</v>
      </c>
      <c r="J21" t="s">
        <v>774</v>
      </c>
      <c r="K21" t="s">
        <v>16</v>
      </c>
      <c r="L21" t="str">
        <f>IF(OR(Tableau1[[#This Row],[Type of DC]]="1 - Major",Tableau1[[#This Row],[Type of DC]]="2 - Opportunistic",Tableau1[[#This Row],[Type of DC]]="6 - Catalog"),"OUI","NON")</f>
        <v>OUI</v>
      </c>
      <c r="M21" t="s">
        <v>538</v>
      </c>
      <c r="N21" t="s">
        <v>762</v>
      </c>
      <c r="O21" t="s">
        <v>763</v>
      </c>
      <c r="P21" t="s">
        <v>614</v>
      </c>
    </row>
    <row r="22" spans="1:16" hidden="1" x14ac:dyDescent="0.35">
      <c r="A22" t="str">
        <f>UPPER(_xlfn.CONCAT(LEFT(Tableau1[[#This Row],[Supplier]],2),LEFT(Tableau1[[#This Row],[City Area]],2),LEFT(Tableau1[[#This Row],[Datacenter name (supplier code)]],4),LEFT(Tableau1[[#This Row],[Country]],2),RIGHT(Tableau1[[#This Row],[Datacenter name (supplier code)]],2)))</f>
        <v>IISAIIA CHGO</v>
      </c>
      <c r="B22" t="s">
        <v>18</v>
      </c>
      <c r="C22" t="s">
        <v>56</v>
      </c>
      <c r="D22" t="s">
        <v>180</v>
      </c>
      <c r="E22" t="s">
        <v>181</v>
      </c>
      <c r="F22" t="s">
        <v>181</v>
      </c>
      <c r="G22" t="s">
        <v>182</v>
      </c>
      <c r="H22" s="8" t="s">
        <v>183</v>
      </c>
      <c r="I22" s="4" t="s">
        <v>184</v>
      </c>
      <c r="J22" t="s">
        <v>185</v>
      </c>
      <c r="K22" t="s">
        <v>63</v>
      </c>
      <c r="L22" t="str">
        <f>IF(OR(Tableau1[[#This Row],[Type of DC]]="1 - Major",Tableau1[[#This Row],[Type of DC]]="2 - Opportunistic",Tableau1[[#This Row],[Type of DC]]="6 - Catalog"),"OUI","NON")</f>
        <v>NON</v>
      </c>
      <c r="M22" t="s">
        <v>64</v>
      </c>
      <c r="N22" t="s">
        <v>186</v>
      </c>
      <c r="O22" t="s">
        <v>187</v>
      </c>
    </row>
    <row r="23" spans="1:16" ht="29" hidden="1" x14ac:dyDescent="0.35">
      <c r="A23" t="str">
        <f>UPPER(_xlfn.CONCAT(LEFT(Tableau1[[#This Row],[Supplier]],2),LEFT(Tableau1[[#This Row],[City Area]],2),LEFT(Tableau1[[#This Row],[Datacenter name (supplier code)]],4),LEFT(Tableau1[[#This Row],[Country]],2),RIGHT(Tableau1[[#This Row],[Datacenter name (supplier code)]],2)))</f>
        <v>EQCUCU2UNU2</v>
      </c>
      <c r="B23" t="s">
        <v>18</v>
      </c>
      <c r="C23" t="s">
        <v>531</v>
      </c>
      <c r="D23" t="s">
        <v>21</v>
      </c>
      <c r="E23" t="s">
        <v>775</v>
      </c>
      <c r="F23" t="s">
        <v>776</v>
      </c>
      <c r="G23" t="s">
        <v>78</v>
      </c>
      <c r="H23" s="9" t="s">
        <v>87</v>
      </c>
      <c r="I23" s="4" t="s">
        <v>777</v>
      </c>
      <c r="J23" t="s">
        <v>778</v>
      </c>
      <c r="K23" t="s">
        <v>16</v>
      </c>
      <c r="L23" t="str">
        <f>IF(OR(Tableau1[[#This Row],[Type of DC]]="1 - Major",Tableau1[[#This Row],[Type of DC]]="2 - Opportunistic",Tableau1[[#This Row],[Type of DC]]="6 - Catalog"),"OUI","NON")</f>
        <v>OUI</v>
      </c>
      <c r="M23" t="s">
        <v>538</v>
      </c>
      <c r="N23" t="s">
        <v>779</v>
      </c>
      <c r="O23" t="s">
        <v>780</v>
      </c>
      <c r="P23" t="s">
        <v>614</v>
      </c>
    </row>
    <row r="24" spans="1:16" hidden="1" x14ac:dyDescent="0.35">
      <c r="A24" t="str">
        <f>UPPER(_xlfn.CONCAT(LEFT(Tableau1[[#This Row],[Supplier]],2),LEFT(Tableau1[[#This Row],[City Area]],2),LEFT(Tableau1[[#This Row],[Datacenter name (supplier code)]],4),LEFT(Tableau1[[#This Row],[Country]],2),RIGHT(Tableau1[[#This Row],[Datacenter name (supplier code)]],2)))</f>
        <v>DRBEDR. CHNG</v>
      </c>
      <c r="B24" t="s">
        <v>23</v>
      </c>
      <c r="C24" t="s">
        <v>23</v>
      </c>
      <c r="D24" t="s">
        <v>25</v>
      </c>
      <c r="E24" t="s">
        <v>188</v>
      </c>
      <c r="F24" t="s">
        <v>188</v>
      </c>
      <c r="G24" t="s">
        <v>195</v>
      </c>
      <c r="H24" s="9" t="s">
        <v>87</v>
      </c>
      <c r="I24" t="s">
        <v>196</v>
      </c>
      <c r="J24" t="s">
        <v>195</v>
      </c>
      <c r="K24" t="s">
        <v>73</v>
      </c>
      <c r="L24" t="str">
        <f>IF(OR(Tableau1[[#This Row],[Type of DC]]="1 - Major",Tableau1[[#This Row],[Type of DC]]="2 - Opportunistic",Tableau1[[#This Row],[Type of DC]]="6 - Catalog"),"OUI","NON")</f>
        <v>NON</v>
      </c>
      <c r="M24" t="s">
        <v>192</v>
      </c>
      <c r="N24" t="s">
        <v>197</v>
      </c>
      <c r="O24" t="s">
        <v>198</v>
      </c>
    </row>
    <row r="25" spans="1:16" ht="29" hidden="1" x14ac:dyDescent="0.35">
      <c r="A25" t="str">
        <f>UPPER(_xlfn.CONCAT(LEFT(Tableau1[[#This Row],[Supplier]],2),LEFT(Tableau1[[#This Row],[City Area]],2),LEFT(Tableau1[[#This Row],[Datacenter name (supplier code)]],4),LEFT(Tableau1[[#This Row],[Country]],2),RIGHT(Tableau1[[#This Row],[Datacenter name (supplier code)]],2)))</f>
        <v>EQDADA3UNA3</v>
      </c>
      <c r="B25" t="s">
        <v>18</v>
      </c>
      <c r="C25" t="s">
        <v>531</v>
      </c>
      <c r="D25" t="s">
        <v>21</v>
      </c>
      <c r="E25" t="s">
        <v>532</v>
      </c>
      <c r="F25" t="s">
        <v>533</v>
      </c>
      <c r="G25" t="s">
        <v>78</v>
      </c>
      <c r="H25" s="9" t="s">
        <v>87</v>
      </c>
      <c r="I25" s="4" t="s">
        <v>781</v>
      </c>
      <c r="J25" t="s">
        <v>782</v>
      </c>
      <c r="K25" t="s">
        <v>16</v>
      </c>
      <c r="L25" t="str">
        <f>IF(OR(Tableau1[[#This Row],[Type of DC]]="1 - Major",Tableau1[[#This Row],[Type of DC]]="2 - Opportunistic",Tableau1[[#This Row],[Type of DC]]="6 - Catalog"),"OUI","NON")</f>
        <v>OUI</v>
      </c>
      <c r="M25" t="s">
        <v>538</v>
      </c>
      <c r="N25" t="s">
        <v>783</v>
      </c>
      <c r="O25" t="s">
        <v>784</v>
      </c>
      <c r="P25" t="s">
        <v>614</v>
      </c>
    </row>
    <row r="26" spans="1:16" hidden="1" x14ac:dyDescent="0.35">
      <c r="A26" t="str">
        <f>UPPER(_xlfn.CONCAT(LEFT(Tableau1[[#This Row],[Supplier]],2),LEFT(Tableau1[[#This Row],[City Area]],2),LEFT(Tableau1[[#This Row],[Datacenter name (supplier code)]],4),LEFT(Tableau1[[#This Row],[Country]],2),RIGHT(Tableau1[[#This Row],[Datacenter name (supplier code)]],2)))</f>
        <v>NTTANTT CHPO</v>
      </c>
      <c r="B26" t="s">
        <v>23</v>
      </c>
      <c r="C26" t="s">
        <v>23</v>
      </c>
      <c r="D26" t="s">
        <v>25</v>
      </c>
      <c r="E26" t="s">
        <v>205</v>
      </c>
      <c r="F26" t="s">
        <v>206</v>
      </c>
      <c r="G26" t="s">
        <v>207</v>
      </c>
      <c r="H26" t="s">
        <v>208</v>
      </c>
      <c r="I26" t="s">
        <v>209</v>
      </c>
      <c r="J26" t="s">
        <v>210</v>
      </c>
      <c r="K26" t="s">
        <v>73</v>
      </c>
      <c r="L26" t="str">
        <f>IF(OR(Tableau1[[#This Row],[Type of DC]]="1 - Major",Tableau1[[#This Row],[Type of DC]]="2 - Opportunistic",Tableau1[[#This Row],[Type of DC]]="6 - Catalog"),"OUI","NON")</f>
        <v>NON</v>
      </c>
      <c r="M26" t="s">
        <v>192</v>
      </c>
      <c r="N26" t="s">
        <v>211</v>
      </c>
      <c r="O26" t="s">
        <v>212</v>
      </c>
    </row>
    <row r="27" spans="1:16" hidden="1" x14ac:dyDescent="0.35">
      <c r="A27" t="str">
        <f>UPPER(_xlfn.CONCAT(LEFT(Tableau1[[#This Row],[Supplier]],2),LEFT(Tableau1[[#This Row],[City Area]],2),LEFT(Tableau1[[#This Row],[Datacenter name (supplier code)]],4),LEFT(Tableau1[[#This Row],[Country]],2),RIGHT(Tableau1[[#This Row],[Datacenter name (supplier code)]],2)))</f>
        <v>EQASDC10UN10</v>
      </c>
      <c r="B27" t="s">
        <v>18</v>
      </c>
      <c r="C27" t="s">
        <v>531</v>
      </c>
      <c r="D27" t="s">
        <v>21</v>
      </c>
      <c r="E27" t="s">
        <v>775</v>
      </c>
      <c r="F27" t="s">
        <v>785</v>
      </c>
      <c r="G27" t="s">
        <v>78</v>
      </c>
      <c r="H27" s="9" t="s">
        <v>593</v>
      </c>
      <c r="I27" s="4" t="s">
        <v>786</v>
      </c>
      <c r="J27" t="s">
        <v>787</v>
      </c>
      <c r="K27" t="s">
        <v>16</v>
      </c>
      <c r="L27" t="str">
        <f>IF(OR(Tableau1[[#This Row],[Type of DC]]="1 - Major",Tableau1[[#This Row],[Type of DC]]="2 - Opportunistic",Tableau1[[#This Row],[Type of DC]]="6 - Catalog"),"OUI","NON")</f>
        <v>OUI</v>
      </c>
      <c r="M27" t="s">
        <v>538</v>
      </c>
    </row>
    <row r="28" spans="1:16" hidden="1" x14ac:dyDescent="0.35">
      <c r="A28" t="str">
        <f>UPPER(_xlfn.CONCAT(LEFT(Tableau1[[#This Row],[Supplier]],2),LEFT(Tableau1[[#This Row],[City Area]],2),LEFT(Tableau1[[#This Row],[Datacenter name (supplier code)]],4),LEFT(Tableau1[[#This Row],[Country]],2),RIGHT(Tableau1[[#This Row],[Datacenter name (supplier code)]],2)))</f>
        <v>EQASDC11UN11</v>
      </c>
      <c r="B28" t="s">
        <v>18</v>
      </c>
      <c r="C28" t="s">
        <v>531</v>
      </c>
      <c r="D28" t="s">
        <v>21</v>
      </c>
      <c r="E28" t="s">
        <v>775</v>
      </c>
      <c r="F28" t="s">
        <v>785</v>
      </c>
      <c r="G28" t="s">
        <v>78</v>
      </c>
      <c r="H28" t="s">
        <v>788</v>
      </c>
      <c r="I28" t="s">
        <v>789</v>
      </c>
      <c r="J28" t="s">
        <v>790</v>
      </c>
      <c r="K28" t="s">
        <v>16</v>
      </c>
      <c r="L28" t="str">
        <f>IF(OR(Tableau1[[#This Row],[Type of DC]]="1 - Major",Tableau1[[#This Row],[Type of DC]]="2 - Opportunistic",Tableau1[[#This Row],[Type of DC]]="6 - Catalog"),"OUI","NON")</f>
        <v>OUI</v>
      </c>
      <c r="M28" t="s">
        <v>538</v>
      </c>
      <c r="N28" t="s">
        <v>791</v>
      </c>
      <c r="O28" t="s">
        <v>792</v>
      </c>
      <c r="P28" t="s">
        <v>614</v>
      </c>
    </row>
    <row r="29" spans="1:16" hidden="1" x14ac:dyDescent="0.35">
      <c r="A29" t="str">
        <f>UPPER(_xlfn.CONCAT(LEFT(Tableau1[[#This Row],[Supplier]],2),LEFT(Tableau1[[#This Row],[City Area]],2),LEFT(Tableau1[[#This Row],[Datacenter name (supplier code)]],4),LEFT(Tableau1[[#This Row],[Country]],2),RIGHT(Tableau1[[#This Row],[Datacenter name (supplier code)]],2)))</f>
        <v>EQASDC13UN13</v>
      </c>
      <c r="B29" t="s">
        <v>18</v>
      </c>
      <c r="C29" t="s">
        <v>531</v>
      </c>
      <c r="D29" t="s">
        <v>21</v>
      </c>
      <c r="E29" t="s">
        <v>775</v>
      </c>
      <c r="F29" t="s">
        <v>785</v>
      </c>
      <c r="G29" t="s">
        <v>78</v>
      </c>
      <c r="H29" s="9" t="s">
        <v>87</v>
      </c>
      <c r="I29" t="s">
        <v>793</v>
      </c>
      <c r="J29" t="s">
        <v>794</v>
      </c>
      <c r="K29" t="s">
        <v>16</v>
      </c>
      <c r="L29" t="str">
        <f>IF(OR(Tableau1[[#This Row],[Type of DC]]="1 - Major",Tableau1[[#This Row],[Type of DC]]="2 - Opportunistic",Tableau1[[#This Row],[Type of DC]]="6 - Catalog"),"OUI","NON")</f>
        <v>OUI</v>
      </c>
      <c r="M29" t="s">
        <v>538</v>
      </c>
      <c r="N29" t="s">
        <v>795</v>
      </c>
      <c r="O29" t="s">
        <v>796</v>
      </c>
      <c r="P29" t="s">
        <v>614</v>
      </c>
    </row>
    <row r="30" spans="1:16" hidden="1" x14ac:dyDescent="0.35">
      <c r="A30" t="str">
        <f>UPPER(_xlfn.CONCAT(LEFT(Tableau1[[#This Row],[Supplier]],2),LEFT(Tableau1[[#This Row],[City Area]],2),LEFT(Tableau1[[#This Row],[Datacenter name (supplier code)]],4),LEFT(Tableau1[[#This Row],[Country]],2),RIGHT(Tableau1[[#This Row],[Datacenter name (supplier code)]],2)))</f>
        <v>EQASDC21UN21</v>
      </c>
      <c r="B30" t="s">
        <v>18</v>
      </c>
      <c r="C30" t="s">
        <v>531</v>
      </c>
      <c r="D30" t="s">
        <v>21</v>
      </c>
      <c r="E30" t="s">
        <v>775</v>
      </c>
      <c r="F30" t="s">
        <v>785</v>
      </c>
      <c r="G30" t="s">
        <v>78</v>
      </c>
      <c r="H30" s="9" t="s">
        <v>87</v>
      </c>
      <c r="I30" t="s">
        <v>803</v>
      </c>
      <c r="J30" t="s">
        <v>804</v>
      </c>
      <c r="K30" t="s">
        <v>16</v>
      </c>
      <c r="L30" t="str">
        <f>IF(OR(Tableau1[[#This Row],[Type of DC]]="1 - Major",Tableau1[[#This Row],[Type of DC]]="2 - Opportunistic",Tableau1[[#This Row],[Type of DC]]="6 - Catalog"),"OUI","NON")</f>
        <v>OUI</v>
      </c>
      <c r="M30" t="s">
        <v>538</v>
      </c>
      <c r="N30" t="s">
        <v>805</v>
      </c>
      <c r="O30" t="s">
        <v>806</v>
      </c>
      <c r="P30" t="s">
        <v>614</v>
      </c>
    </row>
    <row r="31" spans="1:16" hidden="1" x14ac:dyDescent="0.35">
      <c r="A31" t="str">
        <f>UPPER(_xlfn.CONCAT(LEFT(Tableau1[[#This Row],[Supplier]],2),LEFT(Tableau1[[#This Row],[City Area]],2),LEFT(Tableau1[[#This Row],[Datacenter name (supplier code)]],4),LEFT(Tableau1[[#This Row],[Country]],2),RIGHT(Tableau1[[#This Row],[Datacenter name (supplier code)]],2)))</f>
        <v>EQASDC3UNC3</v>
      </c>
      <c r="B31" t="s">
        <v>18</v>
      </c>
      <c r="C31" t="s">
        <v>531</v>
      </c>
      <c r="D31" t="s">
        <v>21</v>
      </c>
      <c r="E31" t="s">
        <v>775</v>
      </c>
      <c r="F31" t="s">
        <v>785</v>
      </c>
      <c r="G31" t="s">
        <v>78</v>
      </c>
      <c r="H31" s="9" t="s">
        <v>87</v>
      </c>
      <c r="I31" t="s">
        <v>812</v>
      </c>
      <c r="J31" t="s">
        <v>813</v>
      </c>
      <c r="K31" t="s">
        <v>16</v>
      </c>
      <c r="L31" t="str">
        <f>IF(OR(Tableau1[[#This Row],[Type of DC]]="1 - Major",Tableau1[[#This Row],[Type of DC]]="2 - Opportunistic",Tableau1[[#This Row],[Type of DC]]="6 - Catalog"),"OUI","NON")</f>
        <v>OUI</v>
      </c>
      <c r="M31" t="s">
        <v>538</v>
      </c>
      <c r="N31" t="s">
        <v>814</v>
      </c>
      <c r="O31" t="s">
        <v>815</v>
      </c>
      <c r="P31" t="s">
        <v>614</v>
      </c>
    </row>
    <row r="32" spans="1:16" hidden="1" x14ac:dyDescent="0.35">
      <c r="A32" t="str">
        <f>UPPER(_xlfn.CONCAT(LEFT(Tableau1[[#This Row],[Supplier]],2),LEFT(Tableau1[[#This Row],[City Area]],2),LEFT(Tableau1[[#This Row],[Datacenter name (supplier code)]],4),LEFT(Tableau1[[#This Row],[Country]],2),RIGHT(Tableau1[[#This Row],[Datacenter name (supplier code)]],2)))</f>
        <v>NTKWNTT CHNG</v>
      </c>
      <c r="B32" t="s">
        <v>23</v>
      </c>
      <c r="C32" t="s">
        <v>23</v>
      </c>
      <c r="D32" t="s">
        <v>25</v>
      </c>
      <c r="E32" t="s">
        <v>205</v>
      </c>
      <c r="F32" t="s">
        <v>217</v>
      </c>
      <c r="G32" t="s">
        <v>207</v>
      </c>
      <c r="H32" s="7" t="s">
        <v>241</v>
      </c>
      <c r="I32" t="s">
        <v>242</v>
      </c>
      <c r="J32" t="s">
        <v>243</v>
      </c>
      <c r="K32" t="s">
        <v>73</v>
      </c>
      <c r="L32" t="str">
        <f>IF(OR(Tableau1[[#This Row],[Type of DC]]="1 - Major",Tableau1[[#This Row],[Type of DC]]="2 - Opportunistic",Tableau1[[#This Row],[Type of DC]]="6 - Catalog"),"OUI","NON")</f>
        <v>NON</v>
      </c>
      <c r="M32" t="s">
        <v>192</v>
      </c>
      <c r="N32" t="s">
        <v>244</v>
      </c>
      <c r="O32" t="s">
        <v>245</v>
      </c>
    </row>
    <row r="33" spans="1:16" hidden="1" x14ac:dyDescent="0.35">
      <c r="A33" t="str">
        <f>UPPER(_xlfn.CONCAT(LEFT(Tableau1[[#This Row],[Supplier]],2),LEFT(Tableau1[[#This Row],[City Area]],2),LEFT(Tableau1[[#This Row],[Datacenter name (supplier code)]],4),LEFT(Tableau1[[#This Row],[Country]],2),RIGHT(Tableau1[[#This Row],[Datacenter name (supplier code)]],2)))</f>
        <v>EQASDC4UNC4</v>
      </c>
      <c r="B33" t="s">
        <v>18</v>
      </c>
      <c r="C33" t="s">
        <v>531</v>
      </c>
      <c r="D33" t="s">
        <v>21</v>
      </c>
      <c r="E33" t="s">
        <v>775</v>
      </c>
      <c r="F33" t="s">
        <v>785</v>
      </c>
      <c r="G33" t="s">
        <v>78</v>
      </c>
      <c r="H33" t="s">
        <v>816</v>
      </c>
      <c r="I33" t="s">
        <v>817</v>
      </c>
      <c r="J33" t="s">
        <v>818</v>
      </c>
      <c r="K33" t="s">
        <v>16</v>
      </c>
      <c r="L33" t="str">
        <f>IF(OR(Tableau1[[#This Row],[Type of DC]]="1 - Major",Tableau1[[#This Row],[Type of DC]]="2 - Opportunistic",Tableau1[[#This Row],[Type of DC]]="6 - Catalog"),"OUI","NON")</f>
        <v>OUI</v>
      </c>
      <c r="M33" t="s">
        <v>538</v>
      </c>
      <c r="N33" t="s">
        <v>819</v>
      </c>
      <c r="O33" t="s">
        <v>820</v>
      </c>
      <c r="P33" t="s">
        <v>614</v>
      </c>
    </row>
    <row r="34" spans="1:16" hidden="1" x14ac:dyDescent="0.35">
      <c r="A34" t="str">
        <f>UPPER(_xlfn.CONCAT(LEFT(Tableau1[[#This Row],[Supplier]],2),LEFT(Tableau1[[#This Row],[City Area]],2),LEFT(Tableau1[[#This Row],[Datacenter name (supplier code)]],4),LEFT(Tableau1[[#This Row],[Country]],2),RIGHT(Tableau1[[#This Row],[Datacenter name (supplier code)]],2)))</f>
        <v>EQDEDE1UNE1</v>
      </c>
      <c r="B34" t="s">
        <v>18</v>
      </c>
      <c r="C34" t="s">
        <v>531</v>
      </c>
      <c r="D34" t="s">
        <v>21</v>
      </c>
      <c r="E34" t="s">
        <v>827</v>
      </c>
      <c r="F34" t="s">
        <v>828</v>
      </c>
      <c r="G34" t="s">
        <v>78</v>
      </c>
      <c r="H34" s="9" t="s">
        <v>87</v>
      </c>
      <c r="I34" t="s">
        <v>829</v>
      </c>
      <c r="J34" t="s">
        <v>830</v>
      </c>
      <c r="K34" t="s">
        <v>16</v>
      </c>
      <c r="L34" t="str">
        <f>IF(OR(Tableau1[[#This Row],[Type of DC]]="1 - Major",Tableau1[[#This Row],[Type of DC]]="2 - Opportunistic",Tableau1[[#This Row],[Type of DC]]="6 - Catalog"),"OUI","NON")</f>
        <v>OUI</v>
      </c>
      <c r="M34" t="s">
        <v>538</v>
      </c>
      <c r="N34" t="s">
        <v>831</v>
      </c>
      <c r="O34" t="s">
        <v>832</v>
      </c>
      <c r="P34" t="s">
        <v>614</v>
      </c>
    </row>
    <row r="35" spans="1:16" hidden="1" x14ac:dyDescent="0.35">
      <c r="A35" t="str">
        <f>UPPER(_xlfn.CONCAT(LEFT(Tableau1[[#This Row],[Supplier]],2),LEFT(Tableau1[[#This Row],[City Area]],2),LEFT(Tableau1[[#This Row],[Datacenter name (supplier code)]],4),LEFT(Tableau1[[#This Row],[Country]],2),RIGHT(Tableau1[[#This Row],[Datacenter name (supplier code)]],2)))</f>
        <v>EQDEDE2UNE2</v>
      </c>
      <c r="B35" t="s">
        <v>18</v>
      </c>
      <c r="C35" t="s">
        <v>531</v>
      </c>
      <c r="D35" t="s">
        <v>21</v>
      </c>
      <c r="E35" t="s">
        <v>827</v>
      </c>
      <c r="F35" t="s">
        <v>828</v>
      </c>
      <c r="G35" t="s">
        <v>78</v>
      </c>
      <c r="H35" s="2" t="s">
        <v>593</v>
      </c>
      <c r="I35" t="s">
        <v>855</v>
      </c>
      <c r="J35" t="s">
        <v>856</v>
      </c>
      <c r="K35" t="s">
        <v>16</v>
      </c>
      <c r="L35" t="str">
        <f>IF(OR(Tableau1[[#This Row],[Type of DC]]="1 - Major",Tableau1[[#This Row],[Type of DC]]="2 - Opportunistic",Tableau1[[#This Row],[Type of DC]]="6 - Catalog"),"OUI","NON")</f>
        <v>OUI</v>
      </c>
      <c r="M35" t="s">
        <v>538</v>
      </c>
    </row>
    <row r="36" spans="1:16" hidden="1" x14ac:dyDescent="0.35">
      <c r="A36" t="str">
        <f>UPPER(_xlfn.CONCAT(LEFT(Tableau1[[#This Row],[Supplier]],2),LEFT(Tableau1[[#This Row],[City Area]],2),LEFT(Tableau1[[#This Row],[Datacenter name (supplier code)]],4),LEFT(Tableau1[[#This Row],[Country]],2),RIGHT(Tableau1[[#This Row],[Datacenter name (supplier code)]],2)))</f>
        <v>EQNENY1UNY1</v>
      </c>
      <c r="B36" t="s">
        <v>18</v>
      </c>
      <c r="C36" t="s">
        <v>531</v>
      </c>
      <c r="D36" t="s">
        <v>21</v>
      </c>
      <c r="E36" t="s">
        <v>857</v>
      </c>
      <c r="F36" t="s">
        <v>858</v>
      </c>
      <c r="G36" t="s">
        <v>78</v>
      </c>
      <c r="H36" s="7" t="s">
        <v>859</v>
      </c>
      <c r="I36" t="s">
        <v>860</v>
      </c>
      <c r="J36" t="s">
        <v>800</v>
      </c>
      <c r="K36" t="s">
        <v>16</v>
      </c>
      <c r="L36" t="str">
        <f>IF(OR(Tableau1[[#This Row],[Type of DC]]="1 - Major",Tableau1[[#This Row],[Type of DC]]="2 - Opportunistic",Tableau1[[#This Row],[Type of DC]]="6 - Catalog"),"OUI","NON")</f>
        <v>OUI</v>
      </c>
      <c r="M36" t="s">
        <v>538</v>
      </c>
      <c r="N36" t="s">
        <v>861</v>
      </c>
      <c r="O36" t="s">
        <v>862</v>
      </c>
      <c r="P36" t="s">
        <v>614</v>
      </c>
    </row>
    <row r="37" spans="1:16" hidden="1" x14ac:dyDescent="0.35">
      <c r="A37" t="str">
        <f>UPPER(_xlfn.CONCAT(LEFT(Tableau1[[#This Row],[Supplier]],2),LEFT(Tableau1[[#This Row],[City Area]],2),LEFT(Tableau1[[#This Row],[Datacenter name (supplier code)]],4),LEFT(Tableau1[[#This Row],[Country]],2),RIGHT(Tableau1[[#This Row],[Datacenter name (supplier code)]],2)))</f>
        <v>EQSENY2UNY2</v>
      </c>
      <c r="B37" t="s">
        <v>18</v>
      </c>
      <c r="C37" t="s">
        <v>531</v>
      </c>
      <c r="D37" t="s">
        <v>21</v>
      </c>
      <c r="E37" t="s">
        <v>857</v>
      </c>
      <c r="F37" t="s">
        <v>863</v>
      </c>
      <c r="G37" t="s">
        <v>78</v>
      </c>
      <c r="H37" s="7" t="s">
        <v>864</v>
      </c>
      <c r="I37" t="s">
        <v>865</v>
      </c>
      <c r="J37" t="s">
        <v>866</v>
      </c>
      <c r="K37" t="s">
        <v>16</v>
      </c>
      <c r="L37" t="str">
        <f>IF(OR(Tableau1[[#This Row],[Type of DC]]="1 - Major",Tableau1[[#This Row],[Type of DC]]="2 - Opportunistic",Tableau1[[#This Row],[Type of DC]]="6 - Catalog"),"OUI","NON")</f>
        <v>OUI</v>
      </c>
      <c r="M37" t="s">
        <v>538</v>
      </c>
      <c r="N37" t="s">
        <v>867</v>
      </c>
      <c r="O37" t="s">
        <v>868</v>
      </c>
      <c r="P37" t="s">
        <v>614</v>
      </c>
    </row>
    <row r="38" spans="1:16" hidden="1" x14ac:dyDescent="0.35">
      <c r="A38" t="str">
        <f>UPPER(_xlfn.CONCAT(LEFT(Tableau1[[#This Row],[Supplier]],2),LEFT(Tableau1[[#This Row],[City Area]],2),LEFT(Tableau1[[#This Row],[Datacenter name (supplier code)]],4),LEFT(Tableau1[[#This Row],[Country]],2),RIGHT(Tableau1[[#This Row],[Datacenter name (supplier code)]],2)))</f>
        <v>EQSENY5UNY5</v>
      </c>
      <c r="B38" t="s">
        <v>18</v>
      </c>
      <c r="C38" t="s">
        <v>531</v>
      </c>
      <c r="D38" t="s">
        <v>21</v>
      </c>
      <c r="E38" t="s">
        <v>857</v>
      </c>
      <c r="F38" t="s">
        <v>863</v>
      </c>
      <c r="G38" t="s">
        <v>78</v>
      </c>
      <c r="H38" s="2" t="s">
        <v>602</v>
      </c>
      <c r="I38" t="s">
        <v>873</v>
      </c>
      <c r="J38" t="s">
        <v>874</v>
      </c>
      <c r="K38" t="s">
        <v>16</v>
      </c>
      <c r="L38" t="str">
        <f>IF(OR(Tableau1[[#This Row],[Type of DC]]="1 - Major",Tableau1[[#This Row],[Type of DC]]="2 - Opportunistic",Tableau1[[#This Row],[Type of DC]]="6 - Catalog"),"OUI","NON")</f>
        <v>OUI</v>
      </c>
      <c r="M38" t="s">
        <v>538</v>
      </c>
      <c r="N38" t="s">
        <v>875</v>
      </c>
      <c r="O38" t="s">
        <v>876</v>
      </c>
      <c r="P38" t="s">
        <v>614</v>
      </c>
    </row>
    <row r="39" spans="1:16" hidden="1" x14ac:dyDescent="0.35">
      <c r="A39" t="str">
        <f>UPPER(_xlfn.CONCAT(LEFT(Tableau1[[#This Row],[Supplier]],2),LEFT(Tableau1[[#This Row],[City Area]],2),LEFT(Tableau1[[#This Row],[Datacenter name (supplier code)]],4),LEFT(Tableau1[[#This Row],[Country]],2),RIGHT(Tableau1[[#This Row],[Datacenter name (supplier code)]],2)))</f>
        <v>EQNEEQUAFR01</v>
      </c>
      <c r="B39" t="s">
        <v>30</v>
      </c>
      <c r="C39" t="s">
        <v>30</v>
      </c>
      <c r="D39" t="s">
        <v>31</v>
      </c>
      <c r="E39" t="s">
        <v>274</v>
      </c>
      <c r="F39" t="s">
        <v>275</v>
      </c>
      <c r="G39" t="s">
        <v>69</v>
      </c>
      <c r="H39" t="s">
        <v>276</v>
      </c>
      <c r="I39" t="s">
        <v>277</v>
      </c>
      <c r="J39" t="s">
        <v>278</v>
      </c>
      <c r="K39" t="s">
        <v>73</v>
      </c>
      <c r="L39" t="str">
        <f>IF(OR(Tableau1[[#This Row],[Type of DC]]="1 - Major",Tableau1[[#This Row],[Type of DC]]="2 - Opportunistic",Tableau1[[#This Row],[Type of DC]]="6 - Catalog"),"OUI","NON")</f>
        <v>NON</v>
      </c>
      <c r="M39" t="s">
        <v>279</v>
      </c>
      <c r="N39" t="s">
        <v>280</v>
      </c>
      <c r="O39" t="s">
        <v>281</v>
      </c>
    </row>
    <row r="40" spans="1:16" hidden="1" x14ac:dyDescent="0.35">
      <c r="A40" t="str">
        <f>UPPER(_xlfn.CONCAT(LEFT(Tableau1[[#This Row],[Supplier]],2),LEFT(Tableau1[[#This Row],[City Area]],2),LEFT(Tableau1[[#This Row],[Datacenter name (supplier code)]],4),LEFT(Tableau1[[#This Row],[Country]],2),RIGHT(Tableau1[[#This Row],[Datacenter name (supplier code)]],2)))</f>
        <v>ORNANANTFRIF</v>
      </c>
      <c r="B40" t="s">
        <v>30</v>
      </c>
      <c r="C40" t="s">
        <v>30</v>
      </c>
      <c r="D40" t="s">
        <v>31</v>
      </c>
      <c r="E40" t="s">
        <v>274</v>
      </c>
      <c r="F40" t="s">
        <v>282</v>
      </c>
      <c r="G40" t="s">
        <v>283</v>
      </c>
      <c r="H40" t="s">
        <v>284</v>
      </c>
      <c r="I40" t="s">
        <v>285</v>
      </c>
      <c r="J40" t="s">
        <v>286</v>
      </c>
      <c r="K40" t="s">
        <v>73</v>
      </c>
      <c r="L40" t="str">
        <f>IF(OR(Tableau1[[#This Row],[Type of DC]]="1 - Major",Tableau1[[#This Row],[Type of DC]]="2 - Opportunistic",Tableau1[[#This Row],[Type of DC]]="6 - Catalog"),"OUI","NON")</f>
        <v>NON</v>
      </c>
      <c r="M40" t="s">
        <v>279</v>
      </c>
      <c r="N40" t="s">
        <v>287</v>
      </c>
      <c r="O40" t="s">
        <v>288</v>
      </c>
    </row>
    <row r="41" spans="1:16" hidden="1" x14ac:dyDescent="0.35">
      <c r="A41" t="str">
        <f>UPPER(_xlfn.CONCAT(LEFT(Tableau1[[#This Row],[Supplier]],2),LEFT(Tableau1[[#This Row],[City Area]],2),LEFT(Tableau1[[#This Row],[Datacenter name (supplier code)]],4),LEFT(Tableau1[[#This Row],[Country]],2),RIGHT(Tableau1[[#This Row],[Datacenter name (supplier code)]],2)))</f>
        <v>EQSENY6UNY6</v>
      </c>
      <c r="B41" t="s">
        <v>18</v>
      </c>
      <c r="C41" t="s">
        <v>531</v>
      </c>
      <c r="D41" t="s">
        <v>21</v>
      </c>
      <c r="E41" t="s">
        <v>857</v>
      </c>
      <c r="F41" t="s">
        <v>863</v>
      </c>
      <c r="G41" t="s">
        <v>78</v>
      </c>
      <c r="H41" s="7" t="s">
        <v>877</v>
      </c>
      <c r="I41" t="s">
        <v>878</v>
      </c>
      <c r="J41" t="s">
        <v>879</v>
      </c>
      <c r="K41" t="s">
        <v>16</v>
      </c>
      <c r="L41" t="str">
        <f>IF(OR(Tableau1[[#This Row],[Type of DC]]="1 - Major",Tableau1[[#This Row],[Type of DC]]="2 - Opportunistic",Tableau1[[#This Row],[Type of DC]]="6 - Catalog"),"OUI","NON")</f>
        <v>OUI</v>
      </c>
      <c r="M41" t="s">
        <v>538</v>
      </c>
      <c r="N41" t="s">
        <v>880</v>
      </c>
      <c r="O41" t="s">
        <v>881</v>
      </c>
      <c r="P41" t="s">
        <v>614</v>
      </c>
    </row>
    <row r="42" spans="1:16" hidden="1" x14ac:dyDescent="0.35">
      <c r="A42" t="str">
        <f>UPPER(_xlfn.CONCAT(LEFT(Tableau1[[#This Row],[Supplier]],2),LEFT(Tableau1[[#This Row],[City Area]],2),LEFT(Tableau1[[#This Row],[Datacenter name (supplier code)]],4),LEFT(Tableau1[[#This Row],[Country]],2),RIGHT(Tableau1[[#This Row],[Datacenter name (supplier code)]],2)))</f>
        <v>EQNENY9UNY9</v>
      </c>
      <c r="B42" t="s">
        <v>18</v>
      </c>
      <c r="C42" t="s">
        <v>531</v>
      </c>
      <c r="D42" t="s">
        <v>21</v>
      </c>
      <c r="E42" t="s">
        <v>797</v>
      </c>
      <c r="F42" t="s">
        <v>797</v>
      </c>
      <c r="G42" t="s">
        <v>78</v>
      </c>
      <c r="H42" s="9" t="s">
        <v>87</v>
      </c>
      <c r="I42" t="s">
        <v>882</v>
      </c>
      <c r="J42" t="s">
        <v>883</v>
      </c>
      <c r="K42" t="s">
        <v>16</v>
      </c>
      <c r="L42" t="str">
        <f>IF(OR(Tableau1[[#This Row],[Type of DC]]="1 - Major",Tableau1[[#This Row],[Type of DC]]="2 - Opportunistic",Tableau1[[#This Row],[Type of DC]]="6 - Catalog"),"OUI","NON")</f>
        <v>OUI</v>
      </c>
      <c r="M42" t="s">
        <v>538</v>
      </c>
      <c r="N42" t="s">
        <v>884</v>
      </c>
      <c r="O42" t="s">
        <v>885</v>
      </c>
      <c r="P42" t="s">
        <v>614</v>
      </c>
    </row>
    <row r="43" spans="1:16" hidden="1" x14ac:dyDescent="0.35">
      <c r="A43" t="str">
        <f>UPPER(_xlfn.CONCAT(LEFT(Tableau1[[#This Row],[Supplier]],2),LEFT(Tableau1[[#This Row],[City Area]],2),LEFT(Tableau1[[#This Row],[Datacenter name (supplier code)]],4),LEFT(Tableau1[[#This Row],[Country]],2),RIGHT(Tableau1[[#This Row],[Datacenter name (supplier code)]],2)))</f>
        <v>EQSESE2UNE2</v>
      </c>
      <c r="B43" t="s">
        <v>18</v>
      </c>
      <c r="C43" t="s">
        <v>531</v>
      </c>
      <c r="D43" t="s">
        <v>21</v>
      </c>
      <c r="E43" t="s">
        <v>915</v>
      </c>
      <c r="F43" t="s">
        <v>916</v>
      </c>
      <c r="G43" t="s">
        <v>78</v>
      </c>
      <c r="H43" s="7" t="s">
        <v>917</v>
      </c>
      <c r="I43" t="s">
        <v>918</v>
      </c>
      <c r="J43" t="s">
        <v>919</v>
      </c>
      <c r="K43" t="s">
        <v>16</v>
      </c>
      <c r="L43" t="str">
        <f>IF(OR(Tableau1[[#This Row],[Type of DC]]="1 - Major",Tableau1[[#This Row],[Type of DC]]="2 - Opportunistic",Tableau1[[#This Row],[Type of DC]]="6 - Catalog"),"OUI","NON")</f>
        <v>OUI</v>
      </c>
      <c r="M43" t="s">
        <v>538</v>
      </c>
      <c r="N43" t="s">
        <v>920</v>
      </c>
      <c r="O43" t="s">
        <v>921</v>
      </c>
      <c r="P43" t="s">
        <v>614</v>
      </c>
    </row>
    <row r="44" spans="1:16" hidden="1" x14ac:dyDescent="0.35">
      <c r="A44" t="str">
        <f>UPPER(_xlfn.CONCAT(LEFT(Tableau1[[#This Row],[Supplier]],2),LEFT(Tableau1[[#This Row],[City Area]],2),LEFT(Tableau1[[#This Row],[Datacenter name (supplier code)]],4),LEFT(Tableau1[[#This Row],[Country]],2),RIGHT(Tableau1[[#This Row],[Datacenter name (supplier code)]],2)))</f>
        <v>EQSESE3UNE3</v>
      </c>
      <c r="B44" t="s">
        <v>18</v>
      </c>
      <c r="C44" t="s">
        <v>531</v>
      </c>
      <c r="D44" t="s">
        <v>21</v>
      </c>
      <c r="E44" t="s">
        <v>915</v>
      </c>
      <c r="F44" t="s">
        <v>916</v>
      </c>
      <c r="G44" t="s">
        <v>78</v>
      </c>
      <c r="H44" s="7" t="s">
        <v>922</v>
      </c>
      <c r="I44" t="s">
        <v>923</v>
      </c>
      <c r="J44" t="s">
        <v>924</v>
      </c>
      <c r="K44" t="s">
        <v>16</v>
      </c>
      <c r="L44" t="str">
        <f>IF(OR(Tableau1[[#This Row],[Type of DC]]="1 - Major",Tableau1[[#This Row],[Type of DC]]="2 - Opportunistic",Tableau1[[#This Row],[Type of DC]]="6 - Catalog"),"OUI","NON")</f>
        <v>OUI</v>
      </c>
      <c r="M44" t="s">
        <v>538</v>
      </c>
      <c r="N44" t="s">
        <v>925</v>
      </c>
      <c r="O44" t="s">
        <v>926</v>
      </c>
      <c r="P44" t="s">
        <v>614</v>
      </c>
    </row>
    <row r="45" spans="1:16" hidden="1" x14ac:dyDescent="0.35">
      <c r="A45" t="str">
        <f>UPPER(_xlfn.CONCAT(LEFT(Tableau1[[#This Row],[Supplier]],2),LEFT(Tableau1[[#This Row],[City Area]],2),LEFT(Tableau1[[#This Row],[Datacenter name (supplier code)]],4),LEFT(Tableau1[[#This Row],[Country]],2),RIGHT(Tableau1[[#This Row],[Datacenter name (supplier code)]],2)))</f>
        <v>EQSASV1UNV1</v>
      </c>
      <c r="B45" t="s">
        <v>18</v>
      </c>
      <c r="C45" t="s">
        <v>531</v>
      </c>
      <c r="D45" t="s">
        <v>21</v>
      </c>
      <c r="E45" t="s">
        <v>574</v>
      </c>
      <c r="F45" t="s">
        <v>267</v>
      </c>
      <c r="G45" t="s">
        <v>78</v>
      </c>
      <c r="H45" s="7" t="s">
        <v>927</v>
      </c>
      <c r="I45" t="s">
        <v>928</v>
      </c>
      <c r="J45" t="s">
        <v>929</v>
      </c>
      <c r="K45" t="s">
        <v>16</v>
      </c>
      <c r="L45" t="str">
        <f>IF(OR(Tableau1[[#This Row],[Type of DC]]="1 - Major",Tableau1[[#This Row],[Type of DC]]="2 - Opportunistic",Tableau1[[#This Row],[Type of DC]]="6 - Catalog"),"OUI","NON")</f>
        <v>OUI</v>
      </c>
      <c r="M45" t="s">
        <v>538</v>
      </c>
      <c r="N45" t="s">
        <v>930</v>
      </c>
      <c r="O45" t="s">
        <v>931</v>
      </c>
      <c r="P45" t="s">
        <v>614</v>
      </c>
    </row>
    <row r="46" spans="1:16" hidden="1" x14ac:dyDescent="0.35">
      <c r="A46" t="str">
        <f>UPPER(_xlfn.CONCAT(LEFT(Tableau1[[#This Row],[Supplier]],2),LEFT(Tableau1[[#This Row],[City Area]],2),LEFT(Tableau1[[#This Row],[Datacenter name (supplier code)]],4),LEFT(Tableau1[[#This Row],[Country]],2),RIGHT(Tableau1[[#This Row],[Datacenter name (supplier code)]],2)))</f>
        <v>EQSASV10UN10</v>
      </c>
      <c r="B46" t="s">
        <v>18</v>
      </c>
      <c r="C46" t="s">
        <v>531</v>
      </c>
      <c r="D46" t="s">
        <v>21</v>
      </c>
      <c r="E46" t="s">
        <v>574</v>
      </c>
      <c r="F46" t="s">
        <v>267</v>
      </c>
      <c r="G46" t="s">
        <v>78</v>
      </c>
      <c r="H46" s="7" t="s">
        <v>932</v>
      </c>
      <c r="I46" t="s">
        <v>933</v>
      </c>
      <c r="J46" t="s">
        <v>934</v>
      </c>
      <c r="K46" t="s">
        <v>16</v>
      </c>
      <c r="L46" t="str">
        <f>IF(OR(Tableau1[[#This Row],[Type of DC]]="1 - Major",Tableau1[[#This Row],[Type of DC]]="2 - Opportunistic",Tableau1[[#This Row],[Type of DC]]="6 - Catalog"),"OUI","NON")</f>
        <v>OUI</v>
      </c>
      <c r="M46" t="s">
        <v>538</v>
      </c>
      <c r="N46" t="s">
        <v>935</v>
      </c>
      <c r="O46" t="s">
        <v>936</v>
      </c>
      <c r="P46" t="s">
        <v>614</v>
      </c>
    </row>
    <row r="47" spans="1:16" hidden="1" x14ac:dyDescent="0.35">
      <c r="A47" t="str">
        <f>UPPER(_xlfn.CONCAT(LEFT(Tableau1[[#This Row],[Supplier]],2),LEFT(Tableau1[[#This Row],[City Area]],2),LEFT(Tableau1[[#This Row],[Datacenter name (supplier code)]],4),LEFT(Tableau1[[#This Row],[Country]],2),RIGHT(Tableau1[[#This Row],[Datacenter name (supplier code)]],2)))</f>
        <v>EQCOPA1FRA1</v>
      </c>
      <c r="B47" t="s">
        <v>30</v>
      </c>
      <c r="C47" t="s">
        <v>30</v>
      </c>
      <c r="D47" t="s">
        <v>31</v>
      </c>
      <c r="E47" t="s">
        <v>274</v>
      </c>
      <c r="F47" t="s">
        <v>324</v>
      </c>
      <c r="G47" t="s">
        <v>78</v>
      </c>
      <c r="H47" s="9" t="s">
        <v>87</v>
      </c>
      <c r="I47" t="s">
        <v>325</v>
      </c>
      <c r="J47" t="s">
        <v>326</v>
      </c>
      <c r="K47" t="s">
        <v>379</v>
      </c>
      <c r="L47" t="str">
        <f>IF(OR(Tableau1[[#This Row],[Type of DC]]="1 - Major",Tableau1[[#This Row],[Type of DC]]="2 - Opportunistic",Tableau1[[#This Row],[Type of DC]]="6 - Catalog"),"OUI","NON")</f>
        <v>NON</v>
      </c>
      <c r="M47" t="s">
        <v>279</v>
      </c>
      <c r="N47" t="s">
        <v>327</v>
      </c>
      <c r="O47" t="s">
        <v>328</v>
      </c>
      <c r="P47" s="25"/>
    </row>
    <row r="48" spans="1:16" hidden="1" x14ac:dyDescent="0.35">
      <c r="A48" t="str">
        <f>UPPER(_xlfn.CONCAT(LEFT(Tableau1[[#This Row],[Supplier]],2),LEFT(Tableau1[[#This Row],[City Area]],2),LEFT(Tableau1[[#This Row],[Datacenter name (supplier code)]],4),LEFT(Tableau1[[#This Row],[Country]],2),RIGHT(Tableau1[[#This Row],[Datacenter name (supplier code)]],2)))</f>
        <v>EQSASV16UN16</v>
      </c>
      <c r="B48" t="s">
        <v>18</v>
      </c>
      <c r="C48" t="s">
        <v>531</v>
      </c>
      <c r="D48" t="s">
        <v>21</v>
      </c>
      <c r="E48" t="s">
        <v>574</v>
      </c>
      <c r="F48" t="s">
        <v>267</v>
      </c>
      <c r="G48" t="s">
        <v>78</v>
      </c>
      <c r="H48" s="7" t="s">
        <v>593</v>
      </c>
      <c r="I48" t="s">
        <v>937</v>
      </c>
      <c r="J48" t="s">
        <v>938</v>
      </c>
      <c r="K48" t="s">
        <v>16</v>
      </c>
      <c r="L48" t="str">
        <f>IF(OR(Tableau1[[#This Row],[Type of DC]]="1 - Major",Tableau1[[#This Row],[Type of DC]]="2 - Opportunistic",Tableau1[[#This Row],[Type of DC]]="6 - Catalog"),"OUI","NON")</f>
        <v>OUI</v>
      </c>
      <c r="M48" t="s">
        <v>538</v>
      </c>
    </row>
    <row r="49" spans="1:16" hidden="1" x14ac:dyDescent="0.35">
      <c r="A49" t="str">
        <f>UPPER(_xlfn.CONCAT(LEFT(Tableau1[[#This Row],[Supplier]],2),LEFT(Tableau1[[#This Row],[City Area]],2),LEFT(Tableau1[[#This Row],[Datacenter name (supplier code)]],4),LEFT(Tableau1[[#This Row],[Country]],2),RIGHT(Tableau1[[#This Row],[Datacenter name (supplier code)]],2)))</f>
        <v>EQSASV3UNV3</v>
      </c>
      <c r="B49" t="s">
        <v>18</v>
      </c>
      <c r="C49" t="s">
        <v>531</v>
      </c>
      <c r="D49" t="s">
        <v>21</v>
      </c>
      <c r="E49" t="s">
        <v>574</v>
      </c>
      <c r="F49" t="s">
        <v>267</v>
      </c>
      <c r="G49" t="s">
        <v>78</v>
      </c>
      <c r="H49" s="9" t="s">
        <v>87</v>
      </c>
      <c r="I49" t="s">
        <v>939</v>
      </c>
      <c r="J49" t="s">
        <v>940</v>
      </c>
      <c r="K49" t="s">
        <v>16</v>
      </c>
      <c r="L49" t="str">
        <f>IF(OR(Tableau1[[#This Row],[Type of DC]]="1 - Major",Tableau1[[#This Row],[Type of DC]]="2 - Opportunistic",Tableau1[[#This Row],[Type of DC]]="6 - Catalog"),"OUI","NON")</f>
        <v>OUI</v>
      </c>
      <c r="M49" t="s">
        <v>538</v>
      </c>
      <c r="N49" t="s">
        <v>941</v>
      </c>
      <c r="O49" t="s">
        <v>942</v>
      </c>
      <c r="P49" t="s">
        <v>614</v>
      </c>
    </row>
    <row r="50" spans="1:16" hidden="1" x14ac:dyDescent="0.35">
      <c r="A50" t="str">
        <f>UPPER(_xlfn.CONCAT(LEFT(Tableau1[[#This Row],[Supplier]],2),LEFT(Tableau1[[#This Row],[City Area]],2),LEFT(Tableau1[[#This Row],[Datacenter name (supplier code)]],4),LEFT(Tableau1[[#This Row],[Country]],2),RIGHT(Tableau1[[#This Row],[Datacenter name (supplier code)]],2)))</f>
        <v>EQSASV5UNV5</v>
      </c>
      <c r="B50" t="s">
        <v>18</v>
      </c>
      <c r="C50" t="s">
        <v>531</v>
      </c>
      <c r="D50" t="s">
        <v>21</v>
      </c>
      <c r="E50" t="s">
        <v>574</v>
      </c>
      <c r="F50" t="s">
        <v>267</v>
      </c>
      <c r="G50" t="s">
        <v>78</v>
      </c>
      <c r="H50" s="7" t="s">
        <v>943</v>
      </c>
      <c r="I50" t="s">
        <v>944</v>
      </c>
      <c r="J50" t="s">
        <v>945</v>
      </c>
      <c r="K50" t="s">
        <v>16</v>
      </c>
      <c r="L50" t="str">
        <f>IF(OR(Tableau1[[#This Row],[Type of DC]]="1 - Major",Tableau1[[#This Row],[Type of DC]]="2 - Opportunistic",Tableau1[[#This Row],[Type of DC]]="6 - Catalog"),"OUI","NON")</f>
        <v>OUI</v>
      </c>
      <c r="M50" t="s">
        <v>538</v>
      </c>
      <c r="N50" t="s">
        <v>946</v>
      </c>
      <c r="O50" t="s">
        <v>947</v>
      </c>
      <c r="P50" t="s">
        <v>614</v>
      </c>
    </row>
    <row r="51" spans="1:16" hidden="1" x14ac:dyDescent="0.35">
      <c r="A51" t="str">
        <f>UPPER(_xlfn.CONCAT(LEFT(Tableau1[[#This Row],[Supplier]],2),LEFT(Tableau1[[#This Row],[City Area]],2),LEFT(Tableau1[[#This Row],[Datacenter name (supplier code)]],4),LEFT(Tableau1[[#This Row],[Country]],2),RIGHT(Tableau1[[#This Row],[Datacenter name (supplier code)]],2)))</f>
        <v>COSENY2 UNTE</v>
      </c>
      <c r="B51" t="s">
        <v>18</v>
      </c>
      <c r="C51" t="s">
        <v>531</v>
      </c>
      <c r="D51" t="s">
        <v>21</v>
      </c>
      <c r="E51" t="s">
        <v>857</v>
      </c>
      <c r="F51" t="s">
        <v>863</v>
      </c>
      <c r="G51" t="s">
        <v>576</v>
      </c>
      <c r="H51" s="8" t="s">
        <v>864</v>
      </c>
      <c r="I51" s="4" t="s">
        <v>964</v>
      </c>
      <c r="J51" t="s">
        <v>965</v>
      </c>
      <c r="K51" t="s">
        <v>16</v>
      </c>
      <c r="L51" t="str">
        <f>IF(OR(Tableau1[[#This Row],[Type of DC]]="1 - Major",Tableau1[[#This Row],[Type of DC]]="2 - Opportunistic",Tableau1[[#This Row],[Type of DC]]="6 - Catalog"),"OUI","NON")</f>
        <v>OUI</v>
      </c>
      <c r="M51" t="s">
        <v>538</v>
      </c>
      <c r="N51" t="s">
        <v>966</v>
      </c>
      <c r="O51" t="s">
        <v>967</v>
      </c>
      <c r="P51" t="s">
        <v>582</v>
      </c>
    </row>
    <row r="52" spans="1:16" ht="29" hidden="1" x14ac:dyDescent="0.35">
      <c r="A52" t="str">
        <f>UPPER(_xlfn.CONCAT(LEFT(Tableau1[[#This Row],[Supplier]],2),LEFT(Tableau1[[#This Row],[City Area]],2),LEFT(Tableau1[[#This Row],[Datacenter name (supplier code)]],4),LEFT(Tableau1[[#This Row],[Country]],2),RIGHT(Tableau1[[#This Row],[Datacenter name (supplier code)]],2)))</f>
        <v>DICHCHI1UNI1</v>
      </c>
      <c r="B52" t="s">
        <v>18</v>
      </c>
      <c r="C52" t="s">
        <v>531</v>
      </c>
      <c r="D52" t="s">
        <v>21</v>
      </c>
      <c r="E52" t="s">
        <v>758</v>
      </c>
      <c r="F52" t="s">
        <v>759</v>
      </c>
      <c r="G52" t="s">
        <v>246</v>
      </c>
      <c r="H52" s="7" t="s">
        <v>968</v>
      </c>
      <c r="I52" s="4" t="s">
        <v>969</v>
      </c>
      <c r="J52" t="s">
        <v>970</v>
      </c>
      <c r="K52" t="s">
        <v>16</v>
      </c>
      <c r="L52" t="str">
        <f>IF(OR(Tableau1[[#This Row],[Type of DC]]="1 - Major",Tableau1[[#This Row],[Type of DC]]="2 - Opportunistic",Tableau1[[#This Row],[Type of DC]]="6 - Catalog"),"OUI","NON")</f>
        <v>OUI</v>
      </c>
      <c r="M52" t="s">
        <v>538</v>
      </c>
      <c r="N52" t="s">
        <v>762</v>
      </c>
      <c r="O52" t="s">
        <v>763</v>
      </c>
      <c r="P52" t="s">
        <v>971</v>
      </c>
    </row>
    <row r="53" spans="1:16" hidden="1" x14ac:dyDescent="0.35">
      <c r="A53" t="str">
        <f>UPPER(_xlfn.CONCAT(LEFT(Tableau1[[#This Row],[Supplier]],2),LEFT(Tableau1[[#This Row],[City Area]],2),LEFT(Tableau1[[#This Row],[Datacenter name (supplier code)]],4),LEFT(Tableau1[[#This Row],[Country]],2),RIGHT(Tableau1[[#This Row],[Datacenter name (supplier code)]],2)))</f>
        <v>EQBRBR1AUR1</v>
      </c>
      <c r="B53" t="s">
        <v>23</v>
      </c>
      <c r="C53" t="s">
        <v>23</v>
      </c>
      <c r="D53" t="s">
        <v>24</v>
      </c>
      <c r="E53" t="s">
        <v>77</v>
      </c>
      <c r="F53" t="s">
        <v>77</v>
      </c>
      <c r="G53" t="s">
        <v>78</v>
      </c>
      <c r="H53" s="16" t="s">
        <v>79</v>
      </c>
      <c r="I53" t="s">
        <v>80</v>
      </c>
      <c r="J53" t="s">
        <v>81</v>
      </c>
      <c r="K53" t="s">
        <v>16</v>
      </c>
      <c r="L53" t="str">
        <f>IF(OR(Tableau1[[#This Row],[Type of DC]]="1 - Major",Tableau1[[#This Row],[Type of DC]]="2 - Opportunistic",Tableau1[[#This Row],[Type of DC]]="6 - Catalog"),"OUI","NON")</f>
        <v>OUI</v>
      </c>
      <c r="M53" t="s">
        <v>74</v>
      </c>
      <c r="N53" t="s">
        <v>82</v>
      </c>
      <c r="O53" t="s">
        <v>83</v>
      </c>
      <c r="P53" t="s">
        <v>84</v>
      </c>
    </row>
    <row r="54" spans="1:16" hidden="1" x14ac:dyDescent="0.35">
      <c r="A54" t="str">
        <f>UPPER(_xlfn.CONCAT(LEFT(Tableau1[[#This Row],[Supplier]],2),LEFT(Tableau1[[#This Row],[City Area]],2),LEFT(Tableau1[[#This Row],[Datacenter name (supplier code)]],4),LEFT(Tableau1[[#This Row],[Country]],2),RIGHT(Tableau1[[#This Row],[Datacenter name (supplier code)]],2)))</f>
        <v>EQPOME1AUE1</v>
      </c>
      <c r="B54" t="s">
        <v>23</v>
      </c>
      <c r="C54" t="s">
        <v>23</v>
      </c>
      <c r="D54" t="s">
        <v>24</v>
      </c>
      <c r="E54" t="s">
        <v>85</v>
      </c>
      <c r="F54" t="s">
        <v>86</v>
      </c>
      <c r="G54" t="s">
        <v>78</v>
      </c>
      <c r="H54" s="9" t="s">
        <v>87</v>
      </c>
      <c r="I54" t="s">
        <v>88</v>
      </c>
      <c r="J54" t="s">
        <v>89</v>
      </c>
      <c r="K54" t="s">
        <v>16</v>
      </c>
      <c r="L54" t="str">
        <f>IF(OR(Tableau1[[#This Row],[Type of DC]]="1 - Major",Tableau1[[#This Row],[Type of DC]]="2 - Opportunistic",Tableau1[[#This Row],[Type of DC]]="6 - Catalog"),"OUI","NON")</f>
        <v>OUI</v>
      </c>
      <c r="M54" t="s">
        <v>74</v>
      </c>
      <c r="N54" t="s">
        <v>90</v>
      </c>
      <c r="O54" t="s">
        <v>91</v>
      </c>
      <c r="P54" t="s">
        <v>84</v>
      </c>
    </row>
    <row r="55" spans="1:16" hidden="1" x14ac:dyDescent="0.35">
      <c r="A55" t="str">
        <f>UPPER(_xlfn.CONCAT(LEFT(Tableau1[[#This Row],[Supplier]],2),LEFT(Tableau1[[#This Row],[City Area]],2),LEFT(Tableau1[[#This Row],[Datacenter name (supplier code)]],4),LEFT(Tableau1[[#This Row],[Country]],2),RIGHT(Tableau1[[#This Row],[Datacenter name (supplier code)]],2)))</f>
        <v>EQALSY4AUY4</v>
      </c>
      <c r="B55" t="s">
        <v>23</v>
      </c>
      <c r="C55" t="s">
        <v>23</v>
      </c>
      <c r="D55" t="s">
        <v>24</v>
      </c>
      <c r="E55" t="s">
        <v>68</v>
      </c>
      <c r="F55" t="s">
        <v>99</v>
      </c>
      <c r="G55" t="s">
        <v>78</v>
      </c>
      <c r="H55" s="9" t="s">
        <v>87</v>
      </c>
      <c r="I55" t="s">
        <v>100</v>
      </c>
      <c r="J55" t="s">
        <v>101</v>
      </c>
      <c r="K55" t="s">
        <v>16</v>
      </c>
      <c r="L55" t="str">
        <f>IF(OR(Tableau1[[#This Row],[Type of DC]]="1 - Major",Tableau1[[#This Row],[Type of DC]]="2 - Opportunistic",Tableau1[[#This Row],[Type of DC]]="6 - Catalog"),"OUI","NON")</f>
        <v>OUI</v>
      </c>
      <c r="M55" t="s">
        <v>74</v>
      </c>
      <c r="N55" t="s">
        <v>102</v>
      </c>
      <c r="O55" t="s">
        <v>103</v>
      </c>
      <c r="P55" t="s">
        <v>84</v>
      </c>
    </row>
    <row r="56" spans="1:16" hidden="1" x14ac:dyDescent="0.35">
      <c r="A56" t="str">
        <f>UPPER(_xlfn.CONCAT(LEFT(Tableau1[[#This Row],[Supplier]],2),LEFT(Tableau1[[#This Row],[City Area]],2),LEFT(Tableau1[[#This Row],[Datacenter name (supplier code)]],4),LEFT(Tableau1[[#This Row],[Country]],2),RIGHT(Tableau1[[#This Row],[Datacenter name (supplier code)]],2)))</f>
        <v>EQALSY6AUY6</v>
      </c>
      <c r="B56" t="s">
        <v>23</v>
      </c>
      <c r="C56" t="s">
        <v>23</v>
      </c>
      <c r="D56" t="s">
        <v>24</v>
      </c>
      <c r="E56" t="s">
        <v>68</v>
      </c>
      <c r="F56" t="s">
        <v>99</v>
      </c>
      <c r="G56" t="s">
        <v>78</v>
      </c>
      <c r="H56" s="9" t="s">
        <v>87</v>
      </c>
      <c r="I56" t="s">
        <v>104</v>
      </c>
      <c r="J56" t="s">
        <v>105</v>
      </c>
      <c r="K56" t="s">
        <v>16</v>
      </c>
      <c r="L56" t="str">
        <f>IF(OR(Tableau1[[#This Row],[Type of DC]]="1 - Major",Tableau1[[#This Row],[Type of DC]]="2 - Opportunistic",Tableau1[[#This Row],[Type of DC]]="6 - Catalog"),"OUI","NON")</f>
        <v>OUI</v>
      </c>
      <c r="M56" t="s">
        <v>74</v>
      </c>
      <c r="N56" t="s">
        <v>106</v>
      </c>
      <c r="O56" t="s">
        <v>107</v>
      </c>
      <c r="P56" t="s">
        <v>84</v>
      </c>
    </row>
    <row r="57" spans="1:16" hidden="1" x14ac:dyDescent="0.35">
      <c r="A57" t="str">
        <f>UPPER(_xlfn.CONCAT(LEFT(Tableau1[[#This Row],[Supplier]],2),LEFT(Tableau1[[#This Row],[City Area]],2),LEFT(Tableau1[[#This Row],[Datacenter name (supplier code)]],4),LEFT(Tableau1[[#This Row],[Country]],2),RIGHT(Tableau1[[#This Row],[Datacenter name (supplier code)]],2)))</f>
        <v>ORCECESSFRON</v>
      </c>
      <c r="B57" t="s">
        <v>30</v>
      </c>
      <c r="C57" t="s">
        <v>30</v>
      </c>
      <c r="D57" t="s">
        <v>31</v>
      </c>
      <c r="E57" t="s">
        <v>374</v>
      </c>
      <c r="F57" t="s">
        <v>375</v>
      </c>
      <c r="G57" t="s">
        <v>283</v>
      </c>
      <c r="H57" s="7" t="s">
        <v>376</v>
      </c>
      <c r="I57" t="s">
        <v>377</v>
      </c>
      <c r="J57" t="s">
        <v>378</v>
      </c>
      <c r="K57" t="s">
        <v>379</v>
      </c>
      <c r="L57" t="str">
        <f>IF(OR(Tableau1[[#This Row],[Type of DC]]="1 - Major",Tableau1[[#This Row],[Type of DC]]="2 - Opportunistic",Tableau1[[#This Row],[Type of DC]]="6 - Catalog"),"OUI","NON")</f>
        <v>NON</v>
      </c>
      <c r="M57" t="s">
        <v>279</v>
      </c>
      <c r="N57" t="s">
        <v>380</v>
      </c>
      <c r="O57" t="s">
        <v>381</v>
      </c>
    </row>
    <row r="58" spans="1:16" hidden="1" x14ac:dyDescent="0.35">
      <c r="A58" t="str">
        <f>UPPER(_xlfn.CONCAT(LEFT(Tableau1[[#This Row],[Supplier]],2),LEFT(Tableau1[[#This Row],[City Area]],2),LEFT(Tableau1[[#This Row],[Datacenter name (supplier code)]],4),LEFT(Tableau1[[#This Row],[Country]],2),RIGHT(Tableau1[[#This Row],[Datacenter name (supplier code)]],2)))</f>
        <v>TEPATH1FRH1</v>
      </c>
      <c r="B58" t="s">
        <v>30</v>
      </c>
      <c r="C58" t="s">
        <v>30</v>
      </c>
      <c r="D58" t="s">
        <v>31</v>
      </c>
      <c r="E58" t="s">
        <v>274</v>
      </c>
      <c r="F58" t="s">
        <v>274</v>
      </c>
      <c r="G58" t="s">
        <v>382</v>
      </c>
      <c r="H58" s="9" t="s">
        <v>87</v>
      </c>
      <c r="I58" t="s">
        <v>383</v>
      </c>
      <c r="J58" t="s">
        <v>384</v>
      </c>
      <c r="K58" t="s">
        <v>379</v>
      </c>
      <c r="L58" t="str">
        <f>IF(OR(Tableau1[[#This Row],[Type of DC]]="1 - Major",Tableau1[[#This Row],[Type of DC]]="2 - Opportunistic",Tableau1[[#This Row],[Type of DC]]="6 - Catalog"),"OUI","NON")</f>
        <v>NON</v>
      </c>
      <c r="M58" t="s">
        <v>279</v>
      </c>
      <c r="N58" t="s">
        <v>385</v>
      </c>
      <c r="O58" t="s">
        <v>386</v>
      </c>
    </row>
    <row r="59" spans="1:16" hidden="1" x14ac:dyDescent="0.35">
      <c r="A59" t="str">
        <f>UPPER(_xlfn.CONCAT(LEFT(Tableau1[[#This Row],[Supplier]],2),LEFT(Tableau1[[#This Row],[City Area]],2),LEFT(Tableau1[[#This Row],[Datacenter name (supplier code)]],4),LEFT(Tableau1[[#This Row],[Country]],2),RIGHT(Tableau1[[#This Row],[Datacenter name (supplier code)]],2)))</f>
        <v>EQWOSY7AUY7</v>
      </c>
      <c r="B59" t="s">
        <v>23</v>
      </c>
      <c r="C59" t="s">
        <v>23</v>
      </c>
      <c r="D59" t="s">
        <v>24</v>
      </c>
      <c r="E59" t="s">
        <v>68</v>
      </c>
      <c r="F59" t="s">
        <v>108</v>
      </c>
      <c r="G59" t="s">
        <v>78</v>
      </c>
      <c r="H59" s="9" t="s">
        <v>87</v>
      </c>
      <c r="I59" t="s">
        <v>109</v>
      </c>
      <c r="J59" t="s">
        <v>110</v>
      </c>
      <c r="K59" t="s">
        <v>16</v>
      </c>
      <c r="L59" t="str">
        <f>IF(OR(Tableau1[[#This Row],[Type of DC]]="1 - Major",Tableau1[[#This Row],[Type of DC]]="2 - Opportunistic",Tableau1[[#This Row],[Type of DC]]="6 - Catalog"),"OUI","NON")</f>
        <v>OUI</v>
      </c>
      <c r="M59" t="s">
        <v>74</v>
      </c>
      <c r="N59" t="s">
        <v>111</v>
      </c>
      <c r="O59" t="s">
        <v>112</v>
      </c>
      <c r="P59" t="s">
        <v>84</v>
      </c>
    </row>
    <row r="60" spans="1:16" hidden="1" x14ac:dyDescent="0.35">
      <c r="A60" t="str">
        <f>UPPER(_xlfn.CONCAT(LEFT(Tableau1[[#This Row],[Supplier]],2),LEFT(Tableau1[[#This Row],[City Area]],2),LEFT(Tableau1[[#This Row],[Datacenter name (supplier code)]],4),LEFT(Tableau1[[#This Row],[Country]],2),RIGHT(Tableau1[[#This Row],[Datacenter name (supplier code)]],2)))</f>
        <v>EQALSY1AUY1</v>
      </c>
      <c r="B60" t="s">
        <v>23</v>
      </c>
      <c r="C60" t="s">
        <v>23</v>
      </c>
      <c r="D60" t="s">
        <v>24</v>
      </c>
      <c r="E60" t="s">
        <v>68</v>
      </c>
      <c r="F60" t="s">
        <v>99</v>
      </c>
      <c r="G60" t="s">
        <v>78</v>
      </c>
      <c r="H60" s="9" t="s">
        <v>87</v>
      </c>
      <c r="I60" t="s">
        <v>113</v>
      </c>
      <c r="J60" t="s">
        <v>114</v>
      </c>
      <c r="K60" t="s">
        <v>16</v>
      </c>
      <c r="L60" t="str">
        <f>IF(OR(Tableau1[[#This Row],[Type of DC]]="1 - Major",Tableau1[[#This Row],[Type of DC]]="2 - Opportunistic",Tableau1[[#This Row],[Type of DC]]="6 - Catalog"),"OUI","NON")</f>
        <v>OUI</v>
      </c>
      <c r="M60" t="s">
        <v>74</v>
      </c>
      <c r="N60" t="s">
        <v>115</v>
      </c>
      <c r="O60" t="s">
        <v>116</v>
      </c>
      <c r="P60" t="s">
        <v>84</v>
      </c>
    </row>
    <row r="61" spans="1:16" hidden="1" x14ac:dyDescent="0.35">
      <c r="A61" t="str">
        <f>UPPER(_xlfn.CONCAT(LEFT(Tableau1[[#This Row],[Supplier]],2),LEFT(Tableau1[[#This Row],[City Area]],2),LEFT(Tableau1[[#This Row],[Datacenter name (supplier code)]],4),LEFT(Tableau1[[#This Row],[Country]],2),RIGHT(Tableau1[[#This Row],[Datacenter name (supplier code)]],2)))</f>
        <v>ORCHCHEVFRIF</v>
      </c>
      <c r="B61" t="s">
        <v>30</v>
      </c>
      <c r="C61" t="s">
        <v>30</v>
      </c>
      <c r="D61" t="s">
        <v>31</v>
      </c>
      <c r="E61" t="s">
        <v>274</v>
      </c>
      <c r="F61" t="s">
        <v>397</v>
      </c>
      <c r="G61" t="s">
        <v>283</v>
      </c>
      <c r="H61" s="2" t="s">
        <v>398</v>
      </c>
      <c r="I61" t="s">
        <v>399</v>
      </c>
      <c r="J61" t="s">
        <v>400</v>
      </c>
      <c r="K61" t="s">
        <v>73</v>
      </c>
      <c r="L61" t="str">
        <f>IF(OR(Tableau1[[#This Row],[Type of DC]]="1 - Major",Tableau1[[#This Row],[Type of DC]]="2 - Opportunistic",Tableau1[[#This Row],[Type of DC]]="6 - Catalog"),"OUI","NON")</f>
        <v>NON</v>
      </c>
      <c r="M61" t="s">
        <v>279</v>
      </c>
      <c r="N61" t="s">
        <v>401</v>
      </c>
      <c r="O61" t="s">
        <v>402</v>
      </c>
    </row>
    <row r="62" spans="1:16" hidden="1" x14ac:dyDescent="0.35">
      <c r="A62" t="str">
        <f>UPPER(_xlfn.CONCAT(LEFT(Tableau1[[#This Row],[Supplier]],2),LEFT(Tableau1[[#This Row],[City Area]],2),LEFT(Tableau1[[#This Row],[Datacenter name (supplier code)]],4),LEFT(Tableau1[[#This Row],[Country]],2),RIGHT(Tableau1[[#This Row],[Datacenter name (supplier code)]],2)))</f>
        <v>ORRURUEIFRIF</v>
      </c>
      <c r="B62" t="s">
        <v>30</v>
      </c>
      <c r="C62" t="s">
        <v>30</v>
      </c>
      <c r="D62" t="s">
        <v>31</v>
      </c>
      <c r="E62" t="s">
        <v>274</v>
      </c>
      <c r="F62" t="s">
        <v>404</v>
      </c>
      <c r="G62" t="s">
        <v>283</v>
      </c>
      <c r="H62" s="2" t="s">
        <v>405</v>
      </c>
      <c r="I62" t="s">
        <v>406</v>
      </c>
      <c r="J62" t="s">
        <v>407</v>
      </c>
      <c r="K62" t="s">
        <v>73</v>
      </c>
      <c r="L62" t="str">
        <f>IF(OR(Tableau1[[#This Row],[Type of DC]]="1 - Major",Tableau1[[#This Row],[Type of DC]]="2 - Opportunistic",Tableau1[[#This Row],[Type of DC]]="6 - Catalog"),"OUI","NON")</f>
        <v>NON</v>
      </c>
      <c r="M62" t="s">
        <v>279</v>
      </c>
      <c r="N62" t="s">
        <v>408</v>
      </c>
      <c r="O62" t="s">
        <v>409</v>
      </c>
    </row>
    <row r="63" spans="1:16" hidden="1" x14ac:dyDescent="0.35">
      <c r="A63" t="str">
        <f>UPPER(_xlfn.CONCAT(LEFT(Tableau1[[#This Row],[Supplier]],2),LEFT(Tableau1[[#This Row],[City Area]],2),LEFT(Tableau1[[#This Row],[Datacenter name (supplier code)]],4),LEFT(Tableau1[[#This Row],[Country]],2),RIGHT(Tableau1[[#This Row],[Datacenter name (supplier code)]],2)))</f>
        <v>EQFRESCHGERN</v>
      </c>
      <c r="B63" t="s">
        <v>30</v>
      </c>
      <c r="C63" t="s">
        <v>30</v>
      </c>
      <c r="D63" t="s">
        <v>32</v>
      </c>
      <c r="E63" t="s">
        <v>411</v>
      </c>
      <c r="F63" t="s">
        <v>411</v>
      </c>
      <c r="G63" t="s">
        <v>69</v>
      </c>
      <c r="H63" s="9" t="s">
        <v>87</v>
      </c>
      <c r="I63" t="s">
        <v>412</v>
      </c>
      <c r="J63" t="s">
        <v>413</v>
      </c>
      <c r="K63" t="s">
        <v>379</v>
      </c>
      <c r="L63" t="str">
        <f>IF(OR(Tableau1[[#This Row],[Type of DC]]="1 - Major",Tableau1[[#This Row],[Type of DC]]="2 - Opportunistic",Tableau1[[#This Row],[Type of DC]]="6 - Catalog"),"OUI","NON")</f>
        <v>NON</v>
      </c>
      <c r="M63" t="s">
        <v>414</v>
      </c>
      <c r="N63" s="20">
        <v>50.131950075045502</v>
      </c>
      <c r="O63" s="20">
        <v>8.5694870689761196</v>
      </c>
    </row>
    <row r="64" spans="1:16" hidden="1" x14ac:dyDescent="0.35">
      <c r="A64" t="str">
        <f>UPPER(_xlfn.CONCAT(LEFT(Tableau1[[#This Row],[Supplier]],2),LEFT(Tableau1[[#This Row],[City Area]],2),LEFT(Tableau1[[#This Row],[Datacenter name (supplier code)]],4),LEFT(Tableau1[[#This Row],[Country]],2),RIGHT(Tableau1[[#This Row],[Datacenter name (supplier code)]],2)))</f>
        <v>EQALSY2AUY2</v>
      </c>
      <c r="B64" t="s">
        <v>23</v>
      </c>
      <c r="C64" t="s">
        <v>23</v>
      </c>
      <c r="D64" t="s">
        <v>24</v>
      </c>
      <c r="E64" t="s">
        <v>68</v>
      </c>
      <c r="F64" t="s">
        <v>99</v>
      </c>
      <c r="G64" t="s">
        <v>78</v>
      </c>
      <c r="H64" t="s">
        <v>117</v>
      </c>
      <c r="I64" t="s">
        <v>118</v>
      </c>
      <c r="J64" t="s">
        <v>119</v>
      </c>
      <c r="K64" t="s">
        <v>15</v>
      </c>
      <c r="L64" t="str">
        <f>IF(OR(Tableau1[[#This Row],[Type of DC]]="1 - Major",Tableau1[[#This Row],[Type of DC]]="2 - Opportunistic",Tableau1[[#This Row],[Type of DC]]="6 - Catalog"),"OUI","NON")</f>
        <v>OUI</v>
      </c>
      <c r="M64" t="s">
        <v>74</v>
      </c>
      <c r="N64" t="s">
        <v>120</v>
      </c>
      <c r="O64" t="s">
        <v>121</v>
      </c>
      <c r="P64" t="s">
        <v>84</v>
      </c>
    </row>
    <row r="65" spans="1:16" hidden="1" x14ac:dyDescent="0.35">
      <c r="A65" t="str">
        <f>UPPER(_xlfn.CONCAT(LEFT(Tableau1[[#This Row],[Supplier]],2),LEFT(Tableau1[[#This Row],[City Area]],2),LEFT(Tableau1[[#This Row],[Datacenter name (supplier code)]],4),LEFT(Tableau1[[#This Row],[Country]],2),RIGHT(Tableau1[[#This Row],[Datacenter name (supplier code)]],2)))</f>
        <v>EQALSY3AUY3</v>
      </c>
      <c r="B65" t="s">
        <v>23</v>
      </c>
      <c r="C65" t="s">
        <v>23</v>
      </c>
      <c r="D65" t="s">
        <v>24</v>
      </c>
      <c r="E65" t="s">
        <v>68</v>
      </c>
      <c r="F65" t="s">
        <v>99</v>
      </c>
      <c r="G65" t="s">
        <v>78</v>
      </c>
      <c r="H65" s="9" t="s">
        <v>87</v>
      </c>
      <c r="I65" t="s">
        <v>122</v>
      </c>
      <c r="J65" t="s">
        <v>123</v>
      </c>
      <c r="K65" t="s">
        <v>16</v>
      </c>
      <c r="L65" t="str">
        <f>IF(OR(Tableau1[[#This Row],[Type of DC]]="1 - Major",Tableau1[[#This Row],[Type of DC]]="2 - Opportunistic",Tableau1[[#This Row],[Type of DC]]="6 - Catalog"),"OUI","NON")</f>
        <v>OUI</v>
      </c>
      <c r="M65" t="s">
        <v>74</v>
      </c>
      <c r="N65" t="s">
        <v>124</v>
      </c>
      <c r="O65" t="s">
        <v>125</v>
      </c>
      <c r="P65" t="s">
        <v>84</v>
      </c>
    </row>
    <row r="66" spans="1:16" hidden="1" x14ac:dyDescent="0.35">
      <c r="A66" t="str">
        <f>UPPER(_xlfn.CONCAT(LEFT(Tableau1[[#This Row],[Supplier]],2),LEFT(Tableau1[[#This Row],[City Area]],2),LEFT(Tableau1[[#This Row],[Datacenter name (supplier code)]],4),LEFT(Tableau1[[#This Row],[Country]],2),RIGHT(Tableau1[[#This Row],[Datacenter name (supplier code)]],2)))</f>
        <v>21BEYANJCHAO</v>
      </c>
      <c r="B66" t="s">
        <v>23</v>
      </c>
      <c r="C66" t="s">
        <v>23</v>
      </c>
      <c r="D66" t="s">
        <v>25</v>
      </c>
      <c r="E66" t="s">
        <v>188</v>
      </c>
      <c r="F66" t="s">
        <v>188</v>
      </c>
      <c r="G66" t="s">
        <v>189</v>
      </c>
      <c r="H66" s="9" t="s">
        <v>87</v>
      </c>
      <c r="I66" t="s">
        <v>190</v>
      </c>
      <c r="J66" t="s">
        <v>191</v>
      </c>
      <c r="K66" t="s">
        <v>16</v>
      </c>
      <c r="L66" t="str">
        <f>IF(OR(Tableau1[[#This Row],[Type of DC]]="1 - Major",Tableau1[[#This Row],[Type of DC]]="2 - Opportunistic",Tableau1[[#This Row],[Type of DC]]="6 - Catalog"),"OUI","NON")</f>
        <v>OUI</v>
      </c>
      <c r="M66" t="s">
        <v>192</v>
      </c>
      <c r="N66" t="s">
        <v>193</v>
      </c>
      <c r="O66" t="s">
        <v>194</v>
      </c>
      <c r="P66" t="s">
        <v>67</v>
      </c>
    </row>
    <row r="67" spans="1:16" ht="43.5" hidden="1" x14ac:dyDescent="0.35">
      <c r="A67" t="str">
        <f>UPPER(_xlfn.CONCAT(LEFT(Tableau1[[#This Row],[Supplier]],2),LEFT(Tableau1[[#This Row],[City Area]],2),LEFT(Tableau1[[#This Row],[Datacenter name (supplier code)]],4),LEFT(Tableau1[[#This Row],[Country]],2),RIGHT(Tableau1[[#This Row],[Datacenter name (supplier code)]],2)))</f>
        <v>21SHWAIGCHAO</v>
      </c>
      <c r="B67" t="s">
        <v>23</v>
      </c>
      <c r="C67" t="s">
        <v>23</v>
      </c>
      <c r="D67" t="s">
        <v>25</v>
      </c>
      <c r="E67" t="s">
        <v>200</v>
      </c>
      <c r="F67" t="s">
        <v>200</v>
      </c>
      <c r="G67" t="s">
        <v>189</v>
      </c>
      <c r="H67" s="9" t="s">
        <v>87</v>
      </c>
      <c r="I67" s="4" t="s">
        <v>201</v>
      </c>
      <c r="J67" t="s">
        <v>202</v>
      </c>
      <c r="K67" t="s">
        <v>16</v>
      </c>
      <c r="L67" t="str">
        <f>IF(OR(Tableau1[[#This Row],[Type of DC]]="1 - Major",Tableau1[[#This Row],[Type of DC]]="2 - Opportunistic",Tableau1[[#This Row],[Type of DC]]="6 - Catalog"),"OUI","NON")</f>
        <v>OUI</v>
      </c>
      <c r="M67" t="s">
        <v>192</v>
      </c>
      <c r="N67" t="s">
        <v>203</v>
      </c>
      <c r="O67" t="s">
        <v>204</v>
      </c>
      <c r="P67" t="s">
        <v>67</v>
      </c>
    </row>
    <row r="68" spans="1:16" hidden="1" x14ac:dyDescent="0.35">
      <c r="A68" t="str">
        <f>UPPER(_xlfn.CONCAT(LEFT(Tableau1[[#This Row],[Supplier]],2),LEFT(Tableau1[[#This Row],[City Area]],2),LEFT(Tableau1[[#This Row],[Datacenter name (supplier code)]],4),LEFT(Tableau1[[#This Row],[Country]],2),RIGHT(Tableau1[[#This Row],[Datacenter name (supplier code)]],2)))</f>
        <v>EQHOHK1CHK1</v>
      </c>
      <c r="B68" t="s">
        <v>23</v>
      </c>
      <c r="C68" t="s">
        <v>23</v>
      </c>
      <c r="D68" t="s">
        <v>25</v>
      </c>
      <c r="E68" t="s">
        <v>205</v>
      </c>
      <c r="F68" t="s">
        <v>205</v>
      </c>
      <c r="G68" t="s">
        <v>78</v>
      </c>
      <c r="H68" s="9" t="s">
        <v>87</v>
      </c>
      <c r="I68" t="s">
        <v>213</v>
      </c>
      <c r="J68" t="s">
        <v>214</v>
      </c>
      <c r="K68" t="s">
        <v>16</v>
      </c>
      <c r="L68" t="str">
        <f>IF(OR(Tableau1[[#This Row],[Type of DC]]="1 - Major",Tableau1[[#This Row],[Type of DC]]="2 - Opportunistic",Tableau1[[#This Row],[Type of DC]]="6 - Catalog"),"OUI","NON")</f>
        <v>OUI</v>
      </c>
      <c r="M68" t="s">
        <v>192</v>
      </c>
      <c r="N68" t="s">
        <v>215</v>
      </c>
      <c r="O68" t="s">
        <v>216</v>
      </c>
      <c r="P68" t="s">
        <v>199</v>
      </c>
    </row>
    <row r="69" spans="1:16" hidden="1" x14ac:dyDescent="0.35">
      <c r="A69" t="str">
        <f>UPPER(_xlfn.CONCAT(LEFT(Tableau1[[#This Row],[Supplier]],2),LEFT(Tableau1[[#This Row],[City Area]],2),LEFT(Tableau1[[#This Row],[Datacenter name (supplier code)]],4),LEFT(Tableau1[[#This Row],[Country]],2),RIGHT(Tableau1[[#This Row],[Datacenter name (supplier code)]],2)))</f>
        <v>EQFRFRAXGE01</v>
      </c>
      <c r="B69" t="s">
        <v>30</v>
      </c>
      <c r="C69" t="s">
        <v>30</v>
      </c>
      <c r="D69" t="s">
        <v>32</v>
      </c>
      <c r="E69" t="s">
        <v>411</v>
      </c>
      <c r="F69" t="s">
        <v>411</v>
      </c>
      <c r="G69" t="s">
        <v>69</v>
      </c>
      <c r="H69" t="s">
        <v>428</v>
      </c>
      <c r="I69" t="s">
        <v>423</v>
      </c>
      <c r="J69" t="s">
        <v>428</v>
      </c>
      <c r="K69" t="s">
        <v>379</v>
      </c>
      <c r="L69" t="str">
        <f>IF(OR(Tableau1[[#This Row],[Type of DC]]="1 - Major",Tableau1[[#This Row],[Type of DC]]="2 - Opportunistic",Tableau1[[#This Row],[Type of DC]]="6 - Catalog"),"OUI","NON")</f>
        <v>NON</v>
      </c>
      <c r="M69" t="s">
        <v>414</v>
      </c>
      <c r="N69" s="20">
        <v>50.098879259447997</v>
      </c>
      <c r="O69" s="20">
        <v>8.6320118372871004</v>
      </c>
    </row>
    <row r="70" spans="1:16" hidden="1" x14ac:dyDescent="0.35">
      <c r="A70" t="str">
        <f>UPPER(_xlfn.CONCAT(LEFT(Tableau1[[#This Row],[Supplier]],2),LEFT(Tableau1[[#This Row],[City Area]],2),LEFT(Tableau1[[#This Row],[Datacenter name (supplier code)]],4),LEFT(Tableau1[[#This Row],[Country]],2),RIGHT(Tableau1[[#This Row],[Datacenter name (supplier code)]],2)))</f>
        <v>PCKWMCX1CH10</v>
      </c>
      <c r="B70" t="s">
        <v>23</v>
      </c>
      <c r="C70" t="s">
        <v>23</v>
      </c>
      <c r="D70" t="s">
        <v>25</v>
      </c>
      <c r="E70" t="s">
        <v>205</v>
      </c>
      <c r="F70" t="s">
        <v>217</v>
      </c>
      <c r="G70" t="s">
        <v>218</v>
      </c>
      <c r="H70" t="s">
        <v>219</v>
      </c>
      <c r="I70" t="s">
        <v>220</v>
      </c>
      <c r="J70" t="s">
        <v>221</v>
      </c>
      <c r="K70" t="s">
        <v>15</v>
      </c>
      <c r="L70" t="str">
        <f>IF(OR(Tableau1[[#This Row],[Type of DC]]="1 - Major",Tableau1[[#This Row],[Type of DC]]="2 - Opportunistic",Tableau1[[#This Row],[Type of DC]]="6 - Catalog"),"OUI","NON")</f>
        <v>OUI</v>
      </c>
      <c r="M70" t="s">
        <v>192</v>
      </c>
      <c r="N70" t="s">
        <v>222</v>
      </c>
      <c r="O70" t="s">
        <v>223</v>
      </c>
      <c r="P70" t="s">
        <v>199</v>
      </c>
    </row>
    <row r="71" spans="1:16" hidden="1" x14ac:dyDescent="0.35">
      <c r="A71" t="str">
        <f>UPPER(_xlfn.CONCAT(LEFT(Tableau1[[#This Row],[Supplier]],2),LEFT(Tableau1[[#This Row],[City Area]],2),LEFT(Tableau1[[#This Row],[Datacenter name (supplier code)]],4),LEFT(Tableau1[[#This Row],[Country]],2),RIGHT(Tableau1[[#This Row],[Datacenter name (supplier code)]],2)))</f>
        <v>NTBENTT GEIN</v>
      </c>
      <c r="B71" t="s">
        <v>30</v>
      </c>
      <c r="C71" t="s">
        <v>30</v>
      </c>
      <c r="D71" t="s">
        <v>32</v>
      </c>
      <c r="E71" t="s">
        <v>433</v>
      </c>
      <c r="F71" t="s">
        <v>433</v>
      </c>
      <c r="G71" t="s">
        <v>434</v>
      </c>
      <c r="H71" s="9" t="s">
        <v>87</v>
      </c>
      <c r="I71" t="s">
        <v>435</v>
      </c>
      <c r="J71" t="s">
        <v>436</v>
      </c>
      <c r="K71" t="s">
        <v>379</v>
      </c>
      <c r="L71" t="str">
        <f>IF(OR(Tableau1[[#This Row],[Type of DC]]="1 - Major",Tableau1[[#This Row],[Type of DC]]="2 - Opportunistic",Tableau1[[#This Row],[Type of DC]]="6 - Catalog"),"OUI","NON")</f>
        <v>NON</v>
      </c>
      <c r="M71" t="s">
        <v>414</v>
      </c>
      <c r="N71" s="20">
        <v>52.538419606032299</v>
      </c>
      <c r="O71" s="20">
        <v>13.237312778167899</v>
      </c>
    </row>
    <row r="72" spans="1:16" hidden="1" x14ac:dyDescent="0.35">
      <c r="A72" t="str">
        <f>UPPER(_xlfn.CONCAT(LEFT(Tableau1[[#This Row],[Supplier]],2),LEFT(Tableau1[[#This Row],[City Area]],2),LEFT(Tableau1[[#This Row],[Datacenter name (supplier code)]],4),LEFT(Tableau1[[#This Row],[Country]],2),RIGHT(Tableau1[[#This Row],[Datacenter name (supplier code)]],2)))</f>
        <v>NTMUVIKHINC2</v>
      </c>
      <c r="B72" t="s">
        <v>23</v>
      </c>
      <c r="C72" t="s">
        <v>23</v>
      </c>
      <c r="D72" t="s">
        <v>26</v>
      </c>
      <c r="E72" t="s">
        <v>437</v>
      </c>
      <c r="F72" t="s">
        <v>437</v>
      </c>
      <c r="G72" t="s">
        <v>438</v>
      </c>
      <c r="H72" s="8" t="s">
        <v>439</v>
      </c>
      <c r="I72" t="s">
        <v>440</v>
      </c>
      <c r="J72" t="s">
        <v>441</v>
      </c>
      <c r="K72" s="18" t="s">
        <v>379</v>
      </c>
      <c r="L72" t="str">
        <f>IF(OR(Tableau1[[#This Row],[Type of DC]]="1 - Major",Tableau1[[#This Row],[Type of DC]]="2 - Opportunistic",Tableau1[[#This Row],[Type of DC]]="6 - Catalog"),"OUI","NON")</f>
        <v>NON</v>
      </c>
      <c r="M72" t="s">
        <v>74</v>
      </c>
      <c r="N72" t="s">
        <v>442</v>
      </c>
      <c r="O72" t="s">
        <v>443</v>
      </c>
    </row>
    <row r="73" spans="1:16" hidden="1" x14ac:dyDescent="0.35">
      <c r="A73" t="str">
        <f>UPPER(_xlfn.CONCAT(LEFT(Tableau1[[#This Row],[Supplier]],2),LEFT(Tableau1[[#This Row],[City Area]],2),LEFT(Tableau1[[#This Row],[Datacenter name (supplier code)]],4),LEFT(Tableau1[[#This Row],[Country]],2),RIGHT(Tableau1[[#This Row],[Datacenter name (supplier code)]],2)))</f>
        <v>NTMUVIKHINC4</v>
      </c>
      <c r="B73" t="s">
        <v>23</v>
      </c>
      <c r="C73" t="s">
        <v>23</v>
      </c>
      <c r="D73" t="s">
        <v>26</v>
      </c>
      <c r="E73" t="s">
        <v>437</v>
      </c>
      <c r="F73" t="s">
        <v>437</v>
      </c>
      <c r="G73" t="s">
        <v>438</v>
      </c>
      <c r="H73" s="9" t="s">
        <v>87</v>
      </c>
      <c r="I73" t="s">
        <v>445</v>
      </c>
      <c r="J73" t="s">
        <v>446</v>
      </c>
      <c r="K73" t="s">
        <v>379</v>
      </c>
      <c r="L73" t="str">
        <f>IF(OR(Tableau1[[#This Row],[Type of DC]]="1 - Major",Tableau1[[#This Row],[Type of DC]]="2 - Opportunistic",Tableau1[[#This Row],[Type of DC]]="6 - Catalog"),"OUI","NON")</f>
        <v>NON</v>
      </c>
      <c r="M73" t="s">
        <v>74</v>
      </c>
      <c r="N73" t="s">
        <v>442</v>
      </c>
      <c r="O73" t="s">
        <v>443</v>
      </c>
    </row>
    <row r="74" spans="1:16" hidden="1" x14ac:dyDescent="0.35">
      <c r="A74" t="str">
        <f>UPPER(_xlfn.CONCAT(LEFT(Tableau1[[#This Row],[Supplier]],2),LEFT(Tableau1[[#This Row],[City Area]],2),LEFT(Tableau1[[#This Row],[Datacenter name (supplier code)]],4),LEFT(Tableau1[[#This Row],[Country]],2),RIGHT(Tableau1[[#This Row],[Datacenter name (supplier code)]],2)))</f>
        <v>STBASTT INCL</v>
      </c>
      <c r="B74" t="s">
        <v>23</v>
      </c>
      <c r="C74" t="s">
        <v>23</v>
      </c>
      <c r="D74" t="s">
        <v>26</v>
      </c>
      <c r="E74" t="s">
        <v>447</v>
      </c>
      <c r="F74" t="s">
        <v>447</v>
      </c>
      <c r="G74" t="s">
        <v>448</v>
      </c>
      <c r="H74" t="s">
        <v>449</v>
      </c>
      <c r="I74" t="s">
        <v>450</v>
      </c>
      <c r="J74" t="s">
        <v>448</v>
      </c>
      <c r="K74" t="s">
        <v>379</v>
      </c>
      <c r="L74" t="str">
        <f>IF(OR(Tableau1[[#This Row],[Type of DC]]="1 - Major",Tableau1[[#This Row],[Type of DC]]="2 - Opportunistic",Tableau1[[#This Row],[Type of DC]]="6 - Catalog"),"OUI","NON")</f>
        <v>NON</v>
      </c>
      <c r="M74" t="s">
        <v>74</v>
      </c>
      <c r="N74" t="s">
        <v>451</v>
      </c>
      <c r="O74" t="s">
        <v>452</v>
      </c>
    </row>
    <row r="75" spans="1:16" hidden="1" x14ac:dyDescent="0.35">
      <c r="A75" t="str">
        <f>UPPER(_xlfn.CONCAT(LEFT(Tableau1[[#This Row],[Supplier]],2),LEFT(Tableau1[[#This Row],[City Area]],2),LEFT(Tableau1[[#This Row],[Datacenter name (supplier code)]],4),LEFT(Tableau1[[#This Row],[Country]],2),RIGHT(Tableau1[[#This Row],[Datacenter name (supplier code)]],2)))</f>
        <v>EQTSHK3CHK3</v>
      </c>
      <c r="B75" t="s">
        <v>23</v>
      </c>
      <c r="C75" t="s">
        <v>23</v>
      </c>
      <c r="D75" t="s">
        <v>25</v>
      </c>
      <c r="E75" t="s">
        <v>205</v>
      </c>
      <c r="F75" t="s">
        <v>224</v>
      </c>
      <c r="G75" t="s">
        <v>78</v>
      </c>
      <c r="H75" s="9" t="s">
        <v>87</v>
      </c>
      <c r="I75" t="s">
        <v>225</v>
      </c>
      <c r="J75" t="s">
        <v>226</v>
      </c>
      <c r="K75" t="s">
        <v>16</v>
      </c>
      <c r="L75" t="str">
        <f>IF(OR(Tableau1[[#This Row],[Type of DC]]="1 - Major",Tableau1[[#This Row],[Type of DC]]="2 - Opportunistic",Tableau1[[#This Row],[Type of DC]]="6 - Catalog"),"OUI","NON")</f>
        <v>OUI</v>
      </c>
      <c r="M75" t="s">
        <v>192</v>
      </c>
      <c r="N75" t="s">
        <v>227</v>
      </c>
      <c r="O75" t="s">
        <v>228</v>
      </c>
      <c r="P75" t="s">
        <v>199</v>
      </c>
    </row>
    <row r="76" spans="1:16" hidden="1" x14ac:dyDescent="0.35">
      <c r="A76" t="str">
        <f>UPPER(_xlfn.CONCAT(LEFT(Tableau1[[#This Row],[Supplier]],2),LEFT(Tableau1[[#This Row],[City Area]],2),LEFT(Tableau1[[#This Row],[Datacenter name (supplier code)]],4),LEFT(Tableau1[[#This Row],[Country]],2),RIGHT(Tableau1[[#This Row],[Datacenter name (supplier code)]],2)))</f>
        <v>STDESTT INCL</v>
      </c>
      <c r="B76" t="s">
        <v>23</v>
      </c>
      <c r="C76" t="s">
        <v>23</v>
      </c>
      <c r="D76" t="s">
        <v>26</v>
      </c>
      <c r="E76" t="s">
        <v>457</v>
      </c>
      <c r="F76" t="s">
        <v>457</v>
      </c>
      <c r="G76" t="s">
        <v>448</v>
      </c>
      <c r="H76" t="s">
        <v>458</v>
      </c>
      <c r="I76" t="s">
        <v>459</v>
      </c>
      <c r="J76" t="s">
        <v>448</v>
      </c>
      <c r="K76" t="s">
        <v>379</v>
      </c>
      <c r="L76" t="str">
        <f>IF(OR(Tableau1[[#This Row],[Type of DC]]="1 - Major",Tableau1[[#This Row],[Type of DC]]="2 - Opportunistic",Tableau1[[#This Row],[Type of DC]]="6 - Catalog"),"OUI","NON")</f>
        <v>NON</v>
      </c>
      <c r="M76" t="s">
        <v>74</v>
      </c>
      <c r="N76" t="s">
        <v>460</v>
      </c>
      <c r="O76" t="s">
        <v>461</v>
      </c>
    </row>
    <row r="77" spans="1:16" hidden="1" x14ac:dyDescent="0.35">
      <c r="A77" t="str">
        <f>UPPER(_xlfn.CONCAT(LEFT(Tableau1[[#This Row],[Supplier]],2),LEFT(Tableau1[[#This Row],[City Area]],2),LEFT(Tableau1[[#This Row],[Datacenter name (supplier code)]],4),LEFT(Tableau1[[#This Row],[Country]],2),RIGHT(Tableau1[[#This Row],[Datacenter name (supplier code)]],2)))</f>
        <v>STMUSTT INCL</v>
      </c>
      <c r="B77" t="s">
        <v>23</v>
      </c>
      <c r="C77" t="s">
        <v>23</v>
      </c>
      <c r="D77" t="s">
        <v>26</v>
      </c>
      <c r="E77" t="s">
        <v>437</v>
      </c>
      <c r="F77" t="s">
        <v>437</v>
      </c>
      <c r="G77" t="s">
        <v>448</v>
      </c>
      <c r="H77" t="s">
        <v>462</v>
      </c>
      <c r="I77" t="s">
        <v>463</v>
      </c>
      <c r="J77" t="s">
        <v>448</v>
      </c>
      <c r="K77" t="s">
        <v>379</v>
      </c>
      <c r="L77" t="str">
        <f>IF(OR(Tableau1[[#This Row],[Type of DC]]="1 - Major",Tableau1[[#This Row],[Type of DC]]="2 - Opportunistic",Tableau1[[#This Row],[Type of DC]]="6 - Catalog"),"OUI","NON")</f>
        <v>NON</v>
      </c>
      <c r="M77" t="s">
        <v>74</v>
      </c>
      <c r="N77" t="s">
        <v>464</v>
      </c>
      <c r="O77" t="s">
        <v>465</v>
      </c>
    </row>
    <row r="78" spans="1:16" hidden="1" x14ac:dyDescent="0.35">
      <c r="A78" t="str">
        <f>UPPER(_xlfn.CONCAT(LEFT(Tableau1[[#This Row],[Supplier]],2),LEFT(Tableau1[[#This Row],[City Area]],2),LEFT(Tableau1[[#This Row],[Datacenter name (supplier code)]],4),LEFT(Tableau1[[#This Row],[Country]],2),RIGHT(Tableau1[[#This Row],[Datacenter name (supplier code)]],2)))</f>
        <v>EQTSHK2CHK2</v>
      </c>
      <c r="B78" t="s">
        <v>23</v>
      </c>
      <c r="C78" t="s">
        <v>23</v>
      </c>
      <c r="D78" t="s">
        <v>25</v>
      </c>
      <c r="E78" t="s">
        <v>205</v>
      </c>
      <c r="F78" t="s">
        <v>224</v>
      </c>
      <c r="G78" t="s">
        <v>78</v>
      </c>
      <c r="H78" s="7" t="s">
        <v>229</v>
      </c>
      <c r="I78" t="s">
        <v>230</v>
      </c>
      <c r="J78" s="3" t="s">
        <v>231</v>
      </c>
      <c r="K78" t="s">
        <v>15</v>
      </c>
      <c r="L78" t="str">
        <f>IF(OR(Tableau1[[#This Row],[Type of DC]]="1 - Major",Tableau1[[#This Row],[Type of DC]]="2 - Opportunistic",Tableau1[[#This Row],[Type of DC]]="6 - Catalog"),"OUI","NON")</f>
        <v>OUI</v>
      </c>
      <c r="M78" t="s">
        <v>192</v>
      </c>
      <c r="N78" t="s">
        <v>232</v>
      </c>
      <c r="O78" t="s">
        <v>233</v>
      </c>
      <c r="P78" t="s">
        <v>199</v>
      </c>
    </row>
    <row r="79" spans="1:16" hidden="1" x14ac:dyDescent="0.35">
      <c r="A79" t="str">
        <f>UPPER(_xlfn.CONCAT(LEFT(Tableau1[[#This Row],[Supplier]],2),LEFT(Tableau1[[#This Row],[City Area]],2),LEFT(Tableau1[[#This Row],[Datacenter name (supplier code)]],4),LEFT(Tableau1[[#This Row],[Country]],2),RIGHT(Tableau1[[#This Row],[Datacenter name (supplier code)]],2)))</f>
        <v>ORWAHKGTCH01</v>
      </c>
      <c r="B79" t="s">
        <v>23</v>
      </c>
      <c r="C79" t="s">
        <v>23</v>
      </c>
      <c r="D79" t="s">
        <v>25</v>
      </c>
      <c r="E79" t="s">
        <v>205</v>
      </c>
      <c r="F79" t="s">
        <v>234</v>
      </c>
      <c r="G79" t="s">
        <v>235</v>
      </c>
      <c r="H79" s="7" t="s">
        <v>236</v>
      </c>
      <c r="I79" t="s">
        <v>237</v>
      </c>
      <c r="J79" t="s">
        <v>238</v>
      </c>
      <c r="K79" t="s">
        <v>16</v>
      </c>
      <c r="L79" t="str">
        <f>IF(OR(Tableau1[[#This Row],[Type of DC]]="1 - Major",Tableau1[[#This Row],[Type of DC]]="2 - Opportunistic",Tableau1[[#This Row],[Type of DC]]="6 - Catalog"),"OUI","NON")</f>
        <v>OUI</v>
      </c>
      <c r="M79" t="s">
        <v>192</v>
      </c>
      <c r="N79" t="s">
        <v>239</v>
      </c>
      <c r="O79" t="s">
        <v>240</v>
      </c>
      <c r="P79" t="s">
        <v>199</v>
      </c>
    </row>
    <row r="80" spans="1:16" hidden="1" x14ac:dyDescent="0.35">
      <c r="B80" t="s">
        <v>23</v>
      </c>
      <c r="C80" t="s">
        <v>23</v>
      </c>
      <c r="D80" t="s">
        <v>25</v>
      </c>
      <c r="E80" t="s">
        <v>205</v>
      </c>
      <c r="F80" t="s">
        <v>217</v>
      </c>
      <c r="G80" t="s">
        <v>246</v>
      </c>
      <c r="H80" s="9" t="s">
        <v>87</v>
      </c>
      <c r="I80" t="s">
        <v>247</v>
      </c>
      <c r="K80" t="s">
        <v>16</v>
      </c>
      <c r="L80" t="str">
        <f>IF(OR(Tableau1[[#This Row],[Type of DC]]="1 - Major",Tableau1[[#This Row],[Type of DC]]="2 - Opportunistic",Tableau1[[#This Row],[Type of DC]]="6 - Catalog"),"OUI","NON")</f>
        <v>OUI</v>
      </c>
      <c r="M80" t="s">
        <v>192</v>
      </c>
      <c r="N80" t="s">
        <v>248</v>
      </c>
      <c r="O80" t="s">
        <v>249</v>
      </c>
    </row>
    <row r="81" spans="1:16" hidden="1" x14ac:dyDescent="0.35">
      <c r="A81" t="str">
        <f>UPPER(_xlfn.CONCAT(LEFT(Tableau1[[#This Row],[Supplier]],2),LEFT(Tableau1[[#This Row],[City Area]],2),LEFT(Tableau1[[#This Row],[Datacenter name (supplier code)]],4),LEFT(Tableau1[[#This Row],[Country]],2),RIGHT(Tableau1[[#This Row],[Datacenter name (supplier code)]],2)))</f>
        <v>EQSHSH2CHH2</v>
      </c>
      <c r="B81" t="s">
        <v>23</v>
      </c>
      <c r="C81" t="s">
        <v>23</v>
      </c>
      <c r="D81" t="s">
        <v>25</v>
      </c>
      <c r="E81" t="s">
        <v>200</v>
      </c>
      <c r="F81" t="s">
        <v>200</v>
      </c>
      <c r="G81" t="s">
        <v>78</v>
      </c>
      <c r="H81" s="9" t="s">
        <v>87</v>
      </c>
      <c r="I81" t="s">
        <v>250</v>
      </c>
      <c r="J81" t="s">
        <v>251</v>
      </c>
      <c r="K81" t="s">
        <v>16</v>
      </c>
      <c r="L81" t="str">
        <f>IF(OR(Tableau1[[#This Row],[Type of DC]]="1 - Major",Tableau1[[#This Row],[Type of DC]]="2 - Opportunistic",Tableau1[[#This Row],[Type of DC]]="6 - Catalog"),"OUI","NON")</f>
        <v>OUI</v>
      </c>
      <c r="M81" t="s">
        <v>192</v>
      </c>
      <c r="N81" t="s">
        <v>252</v>
      </c>
      <c r="O81" t="s">
        <v>253</v>
      </c>
      <c r="P81" t="s">
        <v>199</v>
      </c>
    </row>
    <row r="82" spans="1:16" hidden="1" x14ac:dyDescent="0.35">
      <c r="A82" t="str">
        <f>UPPER(_xlfn.CONCAT(LEFT(Tableau1[[#This Row],[Supplier]],2),LEFT(Tableau1[[#This Row],[City Area]],2),LEFT(Tableau1[[#This Row],[Datacenter name (supplier code)]],4),LEFT(Tableau1[[#This Row],[Country]],2),RIGHT(Tableau1[[#This Row],[Datacenter name (supplier code)]],2)))</f>
        <v>EQSHSH3CHH3</v>
      </c>
      <c r="B82" t="s">
        <v>23</v>
      </c>
      <c r="C82" t="s">
        <v>23</v>
      </c>
      <c r="D82" t="s">
        <v>25</v>
      </c>
      <c r="E82" t="s">
        <v>200</v>
      </c>
      <c r="F82" t="s">
        <v>200</v>
      </c>
      <c r="G82" t="s">
        <v>78</v>
      </c>
      <c r="H82" s="7" t="s">
        <v>254</v>
      </c>
      <c r="I82" t="s">
        <v>255</v>
      </c>
      <c r="J82" t="s">
        <v>256</v>
      </c>
      <c r="K82" t="s">
        <v>16</v>
      </c>
      <c r="L82" t="str">
        <f>IF(OR(Tableau1[[#This Row],[Type of DC]]="1 - Major",Tableau1[[#This Row],[Type of DC]]="2 - Opportunistic",Tableau1[[#This Row],[Type of DC]]="6 - Catalog"),"OUI","NON")</f>
        <v>OUI</v>
      </c>
      <c r="M82" t="s">
        <v>192</v>
      </c>
      <c r="N82" t="s">
        <v>252</v>
      </c>
      <c r="O82" t="s">
        <v>253</v>
      </c>
      <c r="P82" t="s">
        <v>199</v>
      </c>
    </row>
    <row r="83" spans="1:16" hidden="1" x14ac:dyDescent="0.35">
      <c r="A83" t="str">
        <f>UPPER(_xlfn.CONCAT(LEFT(Tableau1[[#This Row],[Supplier]],2),LEFT(Tableau1[[#This Row],[City Area]],2),LEFT(Tableau1[[#This Row],[Datacenter name (supplier code)]],4),LEFT(Tableau1[[#This Row],[Country]],2),RIGHT(Tableau1[[#This Row],[Datacenter name (supplier code)]],2)))</f>
        <v>EQSHSH5CHH5</v>
      </c>
      <c r="B83" t="s">
        <v>23</v>
      </c>
      <c r="C83" t="s">
        <v>23</v>
      </c>
      <c r="D83" t="s">
        <v>25</v>
      </c>
      <c r="E83" t="s">
        <v>200</v>
      </c>
      <c r="F83" t="s">
        <v>200</v>
      </c>
      <c r="G83" t="s">
        <v>78</v>
      </c>
      <c r="H83" s="8" t="s">
        <v>257</v>
      </c>
      <c r="I83" t="s">
        <v>258</v>
      </c>
      <c r="J83" t="s">
        <v>259</v>
      </c>
      <c r="K83" t="s">
        <v>16</v>
      </c>
      <c r="L83" t="str">
        <f>IF(OR(Tableau1[[#This Row],[Type of DC]]="1 - Major",Tableau1[[#This Row],[Type of DC]]="2 - Opportunistic",Tableau1[[#This Row],[Type of DC]]="6 - Catalog"),"OUI","NON")</f>
        <v>OUI</v>
      </c>
      <c r="M83" t="s">
        <v>192</v>
      </c>
      <c r="N83" t="s">
        <v>260</v>
      </c>
      <c r="O83" t="s">
        <v>261</v>
      </c>
      <c r="P83" t="s">
        <v>199</v>
      </c>
    </row>
    <row r="84" spans="1:16" hidden="1" x14ac:dyDescent="0.35">
      <c r="A84" t="str">
        <f>UPPER(_xlfn.CONCAT(LEFT(Tableau1[[#This Row],[Supplier]],2),LEFT(Tableau1[[#This Row],[City Area]],2),LEFT(Tableau1[[#This Row],[Datacenter name (supplier code)]],4),LEFT(Tableau1[[#This Row],[Country]],2),RIGHT(Tableau1[[#This Row],[Datacenter name (supplier code)]],2)))</f>
        <v>SHSHIDX CHH3</v>
      </c>
      <c r="B84" t="s">
        <v>23</v>
      </c>
      <c r="C84" t="s">
        <v>23</v>
      </c>
      <c r="D84" t="s">
        <v>25</v>
      </c>
      <c r="E84" t="s">
        <v>200</v>
      </c>
      <c r="F84" t="s">
        <v>200</v>
      </c>
      <c r="G84" t="s">
        <v>262</v>
      </c>
      <c r="H84" s="9" t="s">
        <v>87</v>
      </c>
      <c r="I84" t="s">
        <v>263</v>
      </c>
      <c r="J84" t="s">
        <v>264</v>
      </c>
      <c r="K84" t="s">
        <v>16</v>
      </c>
      <c r="L84" t="str">
        <f>IF(OR(Tableau1[[#This Row],[Type of DC]]="1 - Major",Tableau1[[#This Row],[Type of DC]]="2 - Opportunistic",Tableau1[[#This Row],[Type of DC]]="6 - Catalog"),"OUI","NON")</f>
        <v>OUI</v>
      </c>
      <c r="M84" t="s">
        <v>192</v>
      </c>
      <c r="N84" t="s">
        <v>265</v>
      </c>
      <c r="O84" t="s">
        <v>266</v>
      </c>
      <c r="P84" t="s">
        <v>199</v>
      </c>
    </row>
    <row r="85" spans="1:16" hidden="1" x14ac:dyDescent="0.35">
      <c r="A85" t="str">
        <f>UPPER(_xlfn.CONCAT(LEFT(Tableau1[[#This Row],[Supplier]],2),LEFT(Tableau1[[#This Row],[City Area]],2),LEFT(Tableau1[[#This Row],[Datacenter name (supplier code)]],4),LEFT(Tableau1[[#This Row],[Country]],2),RIGHT(Tableau1[[#This Row],[Datacenter name (supplier code)]],2)))</f>
        <v>NTBABENGINC2</v>
      </c>
      <c r="B85" t="s">
        <v>23</v>
      </c>
      <c r="C85" t="s">
        <v>23</v>
      </c>
      <c r="D85" t="s">
        <v>26</v>
      </c>
      <c r="E85" t="s">
        <v>447</v>
      </c>
      <c r="F85" t="s">
        <v>447</v>
      </c>
      <c r="G85" t="s">
        <v>438</v>
      </c>
      <c r="H85" s="9" t="s">
        <v>87</v>
      </c>
      <c r="I85" t="s">
        <v>453</v>
      </c>
      <c r="J85" t="s">
        <v>454</v>
      </c>
      <c r="K85" t="s">
        <v>16</v>
      </c>
      <c r="L85" t="str">
        <f>IF(OR(Tableau1[[#This Row],[Type of DC]]="1 - Major",Tableau1[[#This Row],[Type of DC]]="2 - Opportunistic",Tableau1[[#This Row],[Type of DC]]="6 - Catalog"),"OUI","NON")</f>
        <v>OUI</v>
      </c>
      <c r="M85" t="s">
        <v>74</v>
      </c>
      <c r="N85" t="s">
        <v>455</v>
      </c>
      <c r="O85" t="s">
        <v>456</v>
      </c>
      <c r="P85" s="21" t="s">
        <v>444</v>
      </c>
    </row>
    <row r="86" spans="1:16" hidden="1" x14ac:dyDescent="0.35">
      <c r="A86" t="str">
        <f>UPPER(_xlfn.CONCAT(LEFT(Tableau1[[#This Row],[Supplier]],2),LEFT(Tableau1[[#This Row],[City Area]],2),LEFT(Tableau1[[#This Row],[Datacenter name (supplier code)]],4),LEFT(Tableau1[[#This Row],[Country]],2),RIGHT(Tableau1[[#This Row],[Datacenter name (supplier code)]],2)))</f>
        <v>LGSESANGKOER</v>
      </c>
      <c r="B86" t="s">
        <v>23</v>
      </c>
      <c r="C86" t="s">
        <v>23</v>
      </c>
      <c r="D86" t="s">
        <v>506</v>
      </c>
      <c r="E86" t="s">
        <v>507</v>
      </c>
      <c r="F86" t="s">
        <v>507</v>
      </c>
      <c r="G86" t="s">
        <v>508</v>
      </c>
      <c r="H86" t="s">
        <v>509</v>
      </c>
      <c r="I86" t="s">
        <v>510</v>
      </c>
      <c r="J86" t="s">
        <v>511</v>
      </c>
      <c r="K86" t="s">
        <v>63</v>
      </c>
      <c r="L86" t="str">
        <f>IF(OR(Tableau1[[#This Row],[Type of DC]]="1 - Major",Tableau1[[#This Row],[Type of DC]]="2 - Opportunistic",Tableau1[[#This Row],[Type of DC]]="6 - Catalog"),"OUI","NON")</f>
        <v>NON</v>
      </c>
      <c r="M86" t="s">
        <v>74</v>
      </c>
      <c r="N86" t="s">
        <v>512</v>
      </c>
      <c r="O86" t="s">
        <v>513</v>
      </c>
    </row>
    <row r="87" spans="1:16" hidden="1" x14ac:dyDescent="0.35">
      <c r="A87" t="str">
        <f>UPPER(_xlfn.CONCAT(LEFT(Tableau1[[#This Row],[Supplier]],2),LEFT(Tableau1[[#This Row],[City Area]],2),LEFT(Tableau1[[#This Row],[Datacenter name (supplier code)]],4),LEFT(Tableau1[[#This Row],[Country]],2),RIGHT(Tableau1[[#This Row],[Datacenter name (supplier code)]],2)))</f>
        <v>ORRAORANMAEL</v>
      </c>
      <c r="B87" t="s">
        <v>30</v>
      </c>
      <c r="C87" t="s">
        <v>30</v>
      </c>
      <c r="D87" t="s">
        <v>35</v>
      </c>
      <c r="E87" t="s">
        <v>514</v>
      </c>
      <c r="F87" t="s">
        <v>514</v>
      </c>
      <c r="G87" t="s">
        <v>515</v>
      </c>
      <c r="H87" s="7" t="s">
        <v>516</v>
      </c>
      <c r="I87" t="s">
        <v>517</v>
      </c>
      <c r="J87" t="s">
        <v>515</v>
      </c>
      <c r="K87" t="s">
        <v>63</v>
      </c>
      <c r="L87" t="str">
        <f>IF(OR(Tableau1[[#This Row],[Type of DC]]="1 - Major",Tableau1[[#This Row],[Type of DC]]="2 - Opportunistic",Tableau1[[#This Row],[Type of DC]]="6 - Catalog"),"OUI","NON")</f>
        <v>NON</v>
      </c>
      <c r="M87" t="s">
        <v>132</v>
      </c>
      <c r="N87" t="s">
        <v>518</v>
      </c>
      <c r="O87" t="s">
        <v>519</v>
      </c>
    </row>
    <row r="88" spans="1:16" hidden="1" x14ac:dyDescent="0.35">
      <c r="A88" t="str">
        <f>UPPER(_xlfn.CONCAT(LEFT(Tableau1[[#This Row],[Supplier]],2),LEFT(Tableau1[[#This Row],[City Area]],2),LEFT(Tableau1[[#This Row],[Datacenter name (supplier code)]],4),LEFT(Tableau1[[#This Row],[Country]],2),RIGHT(Tableau1[[#This Row],[Datacenter name (supplier code)]],2)))</f>
        <v>NTOSNTT JAKA</v>
      </c>
      <c r="B88" t="s">
        <v>23</v>
      </c>
      <c r="C88" t="s">
        <v>23</v>
      </c>
      <c r="D88" t="s">
        <v>27</v>
      </c>
      <c r="E88" t="s">
        <v>476</v>
      </c>
      <c r="F88" t="s">
        <v>476</v>
      </c>
      <c r="G88" t="s">
        <v>207</v>
      </c>
      <c r="H88" t="s">
        <v>477</v>
      </c>
      <c r="I88" t="s">
        <v>478</v>
      </c>
      <c r="J88" t="s">
        <v>479</v>
      </c>
      <c r="K88" t="s">
        <v>16</v>
      </c>
      <c r="L88" t="str">
        <f>IF(OR(Tableau1[[#This Row],[Type of DC]]="1 - Major",Tableau1[[#This Row],[Type of DC]]="2 - Opportunistic",Tableau1[[#This Row],[Type of DC]]="6 - Catalog"),"OUI","NON")</f>
        <v>OUI</v>
      </c>
      <c r="M88" t="s">
        <v>74</v>
      </c>
      <c r="N88" t="s">
        <v>480</v>
      </c>
      <c r="O88" t="s">
        <v>481</v>
      </c>
      <c r="P88" t="s">
        <v>482</v>
      </c>
    </row>
    <row r="89" spans="1:16" hidden="1" x14ac:dyDescent="0.35">
      <c r="A89" t="str">
        <f>UPPER(_xlfn.CONCAT(LEFT(Tableau1[[#This Row],[Supplier]],2),LEFT(Tableau1[[#This Row],[City Area]],2),LEFT(Tableau1[[#This Row],[Datacenter name (supplier code)]],4),LEFT(Tableau1[[#This Row],[Country]],2),RIGHT(Tableau1[[#This Row],[Datacenter name (supplier code)]],2)))</f>
        <v>REMERED-MEIO</v>
      </c>
      <c r="B89" t="s">
        <v>18</v>
      </c>
      <c r="C89" t="s">
        <v>56</v>
      </c>
      <c r="D89" t="s">
        <v>526</v>
      </c>
      <c r="E89" t="s">
        <v>526</v>
      </c>
      <c r="F89" t="s">
        <v>526</v>
      </c>
      <c r="G89" t="s">
        <v>527</v>
      </c>
      <c r="H89" s="9" t="s">
        <v>87</v>
      </c>
      <c r="I89" t="s">
        <v>528</v>
      </c>
      <c r="J89" t="s">
        <v>527</v>
      </c>
      <c r="K89" t="s">
        <v>63</v>
      </c>
      <c r="L89" t="str">
        <f>IF(OR(Tableau1[[#This Row],[Type of DC]]="1 - Major",Tableau1[[#This Row],[Type of DC]]="2 - Opportunistic",Tableau1[[#This Row],[Type of DC]]="6 - Catalog"),"OUI","NON")</f>
        <v>NON</v>
      </c>
      <c r="M89" t="s">
        <v>64</v>
      </c>
      <c r="N89" t="s">
        <v>529</v>
      </c>
      <c r="O89" t="s">
        <v>530</v>
      </c>
    </row>
    <row r="90" spans="1:16" hidden="1" x14ac:dyDescent="0.35">
      <c r="A90" t="str">
        <f>UPPER(_xlfn.CONCAT(LEFT(Tableau1[[#This Row],[Supplier]],2),LEFT(Tableau1[[#This Row],[City Area]],2),LEFT(Tableau1[[#This Row],[Datacenter name (supplier code)]],4),LEFT(Tableau1[[#This Row],[Country]],2),RIGHT(Tableau1[[#This Row],[Datacenter name (supplier code)]],2)))</f>
        <v>EQOSOS1JAS1</v>
      </c>
      <c r="B90" t="s">
        <v>23</v>
      </c>
      <c r="C90" t="s">
        <v>23</v>
      </c>
      <c r="D90" t="s">
        <v>27</v>
      </c>
      <c r="E90" t="s">
        <v>476</v>
      </c>
      <c r="F90" t="s">
        <v>476</v>
      </c>
      <c r="G90" t="s">
        <v>78</v>
      </c>
      <c r="H90" s="9" t="s">
        <v>87</v>
      </c>
      <c r="I90" t="s">
        <v>483</v>
      </c>
      <c r="J90" t="s">
        <v>484</v>
      </c>
      <c r="K90" t="s">
        <v>16</v>
      </c>
      <c r="L90" t="str">
        <f>IF(OR(Tableau1[[#This Row],[Type of DC]]="1 - Major",Tableau1[[#This Row],[Type of DC]]="2 - Opportunistic",Tableau1[[#This Row],[Type of DC]]="6 - Catalog"),"OUI","NON")</f>
        <v>OUI</v>
      </c>
      <c r="M90" t="s">
        <v>74</v>
      </c>
      <c r="N90" t="s">
        <v>485</v>
      </c>
      <c r="O90" t="s">
        <v>486</v>
      </c>
      <c r="P90" t="s">
        <v>482</v>
      </c>
    </row>
    <row r="91" spans="1:16" hidden="1" x14ac:dyDescent="0.35">
      <c r="A91" t="str">
        <f>UPPER(_xlfn.CONCAT(LEFT(Tableau1[[#This Row],[Supplier]],2),LEFT(Tableau1[[#This Row],[City Area]],2),LEFT(Tableau1[[#This Row],[Datacenter name (supplier code)]],4),LEFT(Tableau1[[#This Row],[Country]],2),RIGHT(Tableau1[[#This Row],[Datacenter name (supplier code)]],2)))</f>
        <v>EQTOTY6JAY6</v>
      </c>
      <c r="B91" t="s">
        <v>23</v>
      </c>
      <c r="C91" t="s">
        <v>23</v>
      </c>
      <c r="D91" t="s">
        <v>27</v>
      </c>
      <c r="E91" t="s">
        <v>487</v>
      </c>
      <c r="F91" t="s">
        <v>487</v>
      </c>
      <c r="G91" t="s">
        <v>78</v>
      </c>
      <c r="H91" s="9" t="s">
        <v>87</v>
      </c>
      <c r="I91" t="s">
        <v>488</v>
      </c>
      <c r="J91" t="s">
        <v>489</v>
      </c>
      <c r="K91" t="s">
        <v>16</v>
      </c>
      <c r="L91" t="str">
        <f>IF(OR(Tableau1[[#This Row],[Type of DC]]="1 - Major",Tableau1[[#This Row],[Type of DC]]="2 - Opportunistic",Tableau1[[#This Row],[Type of DC]]="6 - Catalog"),"OUI","NON")</f>
        <v>OUI</v>
      </c>
      <c r="M91" t="s">
        <v>74</v>
      </c>
      <c r="N91" t="s">
        <v>490</v>
      </c>
      <c r="O91" t="s">
        <v>491</v>
      </c>
      <c r="P91" t="s">
        <v>482</v>
      </c>
    </row>
    <row r="92" spans="1:16" hidden="1" x14ac:dyDescent="0.35">
      <c r="A92" t="str">
        <f>UPPER(_xlfn.CONCAT(LEFT(Tableau1[[#This Row],[Supplier]],2),LEFT(Tableau1[[#This Row],[City Area]],2),LEFT(Tableau1[[#This Row],[Datacenter name (supplier code)]],4),LEFT(Tableau1[[#This Row],[Country]],2),RIGHT(Tableau1[[#This Row],[Datacenter name (supplier code)]],2)))</f>
        <v>EQTOTY9JAY9</v>
      </c>
      <c r="B92" t="s">
        <v>23</v>
      </c>
      <c r="C92" t="s">
        <v>23</v>
      </c>
      <c r="D92" t="s">
        <v>27</v>
      </c>
      <c r="E92" t="s">
        <v>487</v>
      </c>
      <c r="F92" t="s">
        <v>487</v>
      </c>
      <c r="G92" t="s">
        <v>78</v>
      </c>
      <c r="H92" s="9" t="s">
        <v>87</v>
      </c>
      <c r="I92" t="s">
        <v>492</v>
      </c>
      <c r="J92" t="s">
        <v>493</v>
      </c>
      <c r="K92" t="s">
        <v>16</v>
      </c>
      <c r="L92" t="str">
        <f>IF(OR(Tableau1[[#This Row],[Type of DC]]="1 - Major",Tableau1[[#This Row],[Type of DC]]="2 - Opportunistic",Tableau1[[#This Row],[Type of DC]]="6 - Catalog"),"OUI","NON")</f>
        <v>OUI</v>
      </c>
      <c r="M92" t="s">
        <v>74</v>
      </c>
      <c r="N92" t="s">
        <v>494</v>
      </c>
      <c r="O92" t="s">
        <v>495</v>
      </c>
      <c r="P92" t="s">
        <v>482</v>
      </c>
    </row>
    <row r="93" spans="1:16" hidden="1" x14ac:dyDescent="0.35">
      <c r="A93" t="str">
        <f>UPPER(_xlfn.CONCAT(LEFT(Tableau1[[#This Row],[Supplier]],2),LEFT(Tableau1[[#This Row],[City Area]],2),LEFT(Tableau1[[#This Row],[Datacenter name (supplier code)]],4),LEFT(Tableau1[[#This Row],[Country]],2),RIGHT(Tableau1[[#This Row],[Datacenter name (supplier code)]],2)))</f>
        <v>EQTOTY8JAY8</v>
      </c>
      <c r="B93" t="s">
        <v>23</v>
      </c>
      <c r="C93" t="s">
        <v>23</v>
      </c>
      <c r="D93" t="s">
        <v>27</v>
      </c>
      <c r="E93" t="s">
        <v>487</v>
      </c>
      <c r="F93" t="s">
        <v>487</v>
      </c>
      <c r="G93" t="s">
        <v>78</v>
      </c>
      <c r="H93" s="7" t="s">
        <v>496</v>
      </c>
      <c r="I93" t="s">
        <v>497</v>
      </c>
      <c r="J93" t="s">
        <v>498</v>
      </c>
      <c r="K93" t="s">
        <v>16</v>
      </c>
      <c r="L93" t="str">
        <f>IF(OR(Tableau1[[#This Row],[Type of DC]]="1 - Major",Tableau1[[#This Row],[Type of DC]]="2 - Opportunistic",Tableau1[[#This Row],[Type of DC]]="6 - Catalog"),"OUI","NON")</f>
        <v>OUI</v>
      </c>
      <c r="M93" t="s">
        <v>74</v>
      </c>
      <c r="N93" t="s">
        <v>499</v>
      </c>
      <c r="O93" t="s">
        <v>500</v>
      </c>
      <c r="P93" t="s">
        <v>482</v>
      </c>
    </row>
    <row r="94" spans="1:16" hidden="1" x14ac:dyDescent="0.35">
      <c r="A94" t="str">
        <f>UPPER(_xlfn.CONCAT(LEFT(Tableau1[[#This Row],[Supplier]],2),LEFT(Tableau1[[#This Row],[City Area]],2),LEFT(Tableau1[[#This Row],[Datacenter name (supplier code)]],4),LEFT(Tableau1[[#This Row],[Country]],2),RIGHT(Tableau1[[#This Row],[Datacenter name (supplier code)]],2)))</f>
        <v>NTTOTK5,JADC</v>
      </c>
      <c r="B94" t="s">
        <v>23</v>
      </c>
      <c r="C94" t="s">
        <v>23</v>
      </c>
      <c r="D94" t="s">
        <v>27</v>
      </c>
      <c r="E94" t="s">
        <v>487</v>
      </c>
      <c r="F94" t="s">
        <v>487</v>
      </c>
      <c r="G94" t="s">
        <v>207</v>
      </c>
      <c r="H94" s="8" t="s">
        <v>501</v>
      </c>
      <c r="I94" t="s">
        <v>502</v>
      </c>
      <c r="J94" t="s">
        <v>503</v>
      </c>
      <c r="K94" t="s">
        <v>16</v>
      </c>
      <c r="L94" t="str">
        <f>IF(OR(Tableau1[[#This Row],[Type of DC]]="1 - Major",Tableau1[[#This Row],[Type of DC]]="2 - Opportunistic",Tableau1[[#This Row],[Type of DC]]="6 - Catalog"),"OUI","NON")</f>
        <v>OUI</v>
      </c>
      <c r="M94" t="s">
        <v>74</v>
      </c>
      <c r="N94" t="s">
        <v>504</v>
      </c>
      <c r="O94" t="s">
        <v>505</v>
      </c>
      <c r="P94" t="s">
        <v>482</v>
      </c>
    </row>
    <row r="95" spans="1:16" hidden="1" x14ac:dyDescent="0.35">
      <c r="A95" t="str">
        <f>UPPER(_xlfn.CONCAT(LEFT(Tableau1[[#This Row],[Supplier]],2),LEFT(Tableau1[[#This Row],[City Area]],2),LEFT(Tableau1[[#This Row],[Datacenter name (supplier code)]],4),LEFT(Tableau1[[#This Row],[Country]],2),RIGHT(Tableau1[[#This Row],[Datacenter name (supplier code)]],2)))</f>
        <v>EQPISG2SIG2</v>
      </c>
      <c r="B95" t="s">
        <v>23</v>
      </c>
      <c r="C95" t="s">
        <v>23</v>
      </c>
      <c r="D95" t="s">
        <v>28</v>
      </c>
      <c r="E95" t="s">
        <v>28</v>
      </c>
      <c r="F95" t="s">
        <v>620</v>
      </c>
      <c r="G95" t="s">
        <v>78</v>
      </c>
      <c r="H95" t="s">
        <v>621</v>
      </c>
      <c r="I95" t="s">
        <v>622</v>
      </c>
      <c r="J95" t="s">
        <v>623</v>
      </c>
      <c r="K95" t="s">
        <v>15</v>
      </c>
      <c r="L95" t="str">
        <f>IF(OR(Tableau1[[#This Row],[Type of DC]]="1 - Major",Tableau1[[#This Row],[Type of DC]]="2 - Opportunistic",Tableau1[[#This Row],[Type of DC]]="6 - Catalog"),"OUI","NON")</f>
        <v>OUI</v>
      </c>
      <c r="M95" t="s">
        <v>74</v>
      </c>
      <c r="N95" t="s">
        <v>624</v>
      </c>
      <c r="O95" t="s">
        <v>625</v>
      </c>
      <c r="P95" t="s">
        <v>626</v>
      </c>
    </row>
    <row r="96" spans="1:16" hidden="1" x14ac:dyDescent="0.35">
      <c r="A96" t="str">
        <f>UPPER(_xlfn.CONCAT(LEFT(Tableau1[[#This Row],[Supplier]],2),LEFT(Tableau1[[#This Row],[City Area]],2),LEFT(Tableau1[[#This Row],[Datacenter name (supplier code)]],4),LEFT(Tableau1[[#This Row],[Country]],2),RIGHT(Tableau1[[#This Row],[Datacenter name (supplier code)]],2)))</f>
        <v>EQAYSG3SIG3</v>
      </c>
      <c r="B96" t="s">
        <v>23</v>
      </c>
      <c r="C96" t="s">
        <v>23</v>
      </c>
      <c r="D96" t="s">
        <v>28</v>
      </c>
      <c r="E96" t="s">
        <v>28</v>
      </c>
      <c r="F96" t="s">
        <v>627</v>
      </c>
      <c r="G96" t="s">
        <v>78</v>
      </c>
      <c r="H96" t="s">
        <v>628</v>
      </c>
      <c r="I96" t="s">
        <v>629</v>
      </c>
      <c r="J96" t="s">
        <v>630</v>
      </c>
      <c r="K96" t="s">
        <v>15</v>
      </c>
      <c r="L96" t="str">
        <f>IF(OR(Tableau1[[#This Row],[Type of DC]]="1 - Major",Tableau1[[#This Row],[Type of DC]]="2 - Opportunistic",Tableau1[[#This Row],[Type of DC]]="6 - Catalog"),"OUI","NON")</f>
        <v>OUI</v>
      </c>
      <c r="M96" t="s">
        <v>74</v>
      </c>
      <c r="N96" t="s">
        <v>631</v>
      </c>
      <c r="O96" t="s">
        <v>632</v>
      </c>
      <c r="P96" t="s">
        <v>626</v>
      </c>
    </row>
    <row r="97" spans="1:16" hidden="1" x14ac:dyDescent="0.35">
      <c r="A97" t="str">
        <f>UPPER(_xlfn.CONCAT(LEFT(Tableau1[[#This Row],[Supplier]],2),LEFT(Tableau1[[#This Row],[City Area]],2),LEFT(Tableau1[[#This Row],[Datacenter name (supplier code)]],4),LEFT(Tableau1[[#This Row],[Country]],2),RIGHT(Tableau1[[#This Row],[Datacenter name (supplier code)]],2)))</f>
        <v>INAMAMS2NES2</v>
      </c>
      <c r="B97" t="s">
        <v>30</v>
      </c>
      <c r="C97" t="s">
        <v>30</v>
      </c>
      <c r="D97" t="s">
        <v>36</v>
      </c>
      <c r="E97" t="s">
        <v>470</v>
      </c>
      <c r="F97" t="s">
        <v>470</v>
      </c>
      <c r="G97" t="s">
        <v>562</v>
      </c>
      <c r="H97" s="9" t="s">
        <v>87</v>
      </c>
      <c r="I97" t="s">
        <v>563</v>
      </c>
      <c r="J97" t="s">
        <v>564</v>
      </c>
      <c r="K97" t="s">
        <v>63</v>
      </c>
      <c r="L97" t="str">
        <f>IF(OR(Tableau1[[#This Row],[Type of DC]]="1 - Major",Tableau1[[#This Row],[Type of DC]]="2 - Opportunistic",Tableau1[[#This Row],[Type of DC]]="6 - Catalog"),"OUI","NON")</f>
        <v>NON</v>
      </c>
      <c r="M97" t="s">
        <v>132</v>
      </c>
      <c r="N97" t="s">
        <v>565</v>
      </c>
      <c r="O97" t="s">
        <v>566</v>
      </c>
    </row>
    <row r="98" spans="1:16" hidden="1" x14ac:dyDescent="0.35">
      <c r="A98" t="str">
        <f>UPPER(_xlfn.CONCAT(LEFT(Tableau1[[#This Row],[Supplier]],2),LEFT(Tableau1[[#This Row],[City Area]],2),LEFT(Tableau1[[#This Row],[Datacenter name (supplier code)]],4),LEFT(Tableau1[[#This Row],[Country]],2),RIGHT(Tableau1[[#This Row],[Datacenter name (supplier code)]],2)))</f>
        <v>INAMAMS5NES5</v>
      </c>
      <c r="B98" t="s">
        <v>30</v>
      </c>
      <c r="C98" t="s">
        <v>30</v>
      </c>
      <c r="D98" t="s">
        <v>36</v>
      </c>
      <c r="E98" t="s">
        <v>470</v>
      </c>
      <c r="F98" t="s">
        <v>470</v>
      </c>
      <c r="G98" t="s">
        <v>562</v>
      </c>
      <c r="H98" s="9" t="s">
        <v>87</v>
      </c>
      <c r="I98" t="s">
        <v>567</v>
      </c>
      <c r="J98" t="s">
        <v>568</v>
      </c>
      <c r="K98" t="s">
        <v>379</v>
      </c>
      <c r="L98" t="str">
        <f>IF(OR(Tableau1[[#This Row],[Type of DC]]="1 - Major",Tableau1[[#This Row],[Type of DC]]="2 - Opportunistic",Tableau1[[#This Row],[Type of DC]]="6 - Catalog"),"OUI","NON")</f>
        <v>NON</v>
      </c>
      <c r="M98" t="s">
        <v>569</v>
      </c>
      <c r="N98" t="s">
        <v>544</v>
      </c>
      <c r="O98" t="s">
        <v>545</v>
      </c>
    </row>
    <row r="99" spans="1:16" hidden="1" x14ac:dyDescent="0.35">
      <c r="A99" t="str">
        <f>UPPER(_xlfn.CONCAT(LEFT(Tableau1[[#This Row],[Supplier]],2),LEFT(Tableau1[[#This Row],[City Area]],2),LEFT(Tableau1[[#This Row],[Datacenter name (supplier code)]],4),LEFT(Tableau1[[#This Row],[Country]],2),RIGHT(Tableau1[[#This Row],[Datacenter name (supplier code)]],2)))</f>
        <v>NTAMAMS1NES1</v>
      </c>
      <c r="B99" t="s">
        <v>30</v>
      </c>
      <c r="C99" t="s">
        <v>30</v>
      </c>
      <c r="D99" t="s">
        <v>36</v>
      </c>
      <c r="E99" t="s">
        <v>470</v>
      </c>
      <c r="F99" t="s">
        <v>470</v>
      </c>
      <c r="G99" t="s">
        <v>207</v>
      </c>
      <c r="H99" s="9" t="s">
        <v>87</v>
      </c>
      <c r="I99" t="s">
        <v>570</v>
      </c>
      <c r="J99" t="s">
        <v>571</v>
      </c>
      <c r="K99" t="s">
        <v>73</v>
      </c>
      <c r="L99" t="str">
        <f>IF(OR(Tableau1[[#This Row],[Type of DC]]="1 - Major",Tableau1[[#This Row],[Type of DC]]="2 - Opportunistic",Tableau1[[#This Row],[Type of DC]]="6 - Catalog"),"OUI","NON")</f>
        <v>NON</v>
      </c>
      <c r="M99" t="s">
        <v>132</v>
      </c>
      <c r="N99" t="s">
        <v>572</v>
      </c>
      <c r="O99" t="s">
        <v>573</v>
      </c>
    </row>
    <row r="100" spans="1:16" hidden="1" x14ac:dyDescent="0.35">
      <c r="A100" t="str">
        <f>UPPER(_xlfn.CONCAT(LEFT(Tableau1[[#This Row],[Supplier]],2),LEFT(Tableau1[[#This Row],[City Area]],2),LEFT(Tableau1[[#This Row],[Datacenter name (supplier code)]],4),LEFT(Tableau1[[#This Row],[Country]],2),RIGHT(Tableau1[[#This Row],[Datacenter name (supplier code)]],2)))</f>
        <v>COLOLA2UNA2</v>
      </c>
      <c r="B100" t="s">
        <v>18</v>
      </c>
      <c r="C100" t="s">
        <v>531</v>
      </c>
      <c r="D100" t="s">
        <v>21</v>
      </c>
      <c r="E100" t="s">
        <v>574</v>
      </c>
      <c r="F100" t="s">
        <v>575</v>
      </c>
      <c r="G100" t="s">
        <v>576</v>
      </c>
      <c r="H100" s="7" t="s">
        <v>577</v>
      </c>
      <c r="I100" t="s">
        <v>578</v>
      </c>
      <c r="J100" t="s">
        <v>579</v>
      </c>
      <c r="K100" t="s">
        <v>73</v>
      </c>
      <c r="L100" t="str">
        <f>IF(OR(Tableau1[[#This Row],[Type of DC]]="1 - Major",Tableau1[[#This Row],[Type of DC]]="2 - Opportunistic",Tableau1[[#This Row],[Type of DC]]="6 - Catalog"),"OUI","NON")</f>
        <v>NON</v>
      </c>
      <c r="M100" t="s">
        <v>538</v>
      </c>
      <c r="N100" t="s">
        <v>580</v>
      </c>
      <c r="O100" t="s">
        <v>581</v>
      </c>
    </row>
    <row r="101" spans="1:16" hidden="1" x14ac:dyDescent="0.35">
      <c r="A101" t="str">
        <f>UPPER(_xlfn.CONCAT(LEFT(Tableau1[[#This Row],[Supplier]],2),LEFT(Tableau1[[#This Row],[City Area]],2),LEFT(Tableau1[[#This Row],[Datacenter name (supplier code)]],4),LEFT(Tableau1[[#This Row],[Country]],2),RIGHT(Tableau1[[#This Row],[Datacenter name (supplier code)]],2)))</f>
        <v>OROSOSLONO01</v>
      </c>
      <c r="B101" t="s">
        <v>30</v>
      </c>
      <c r="C101" t="s">
        <v>30</v>
      </c>
      <c r="D101" t="s">
        <v>37</v>
      </c>
      <c r="E101" t="s">
        <v>583</v>
      </c>
      <c r="F101" t="s">
        <v>583</v>
      </c>
      <c r="G101" t="s">
        <v>584</v>
      </c>
      <c r="H101" s="7" t="s">
        <v>585</v>
      </c>
      <c r="I101" t="s">
        <v>586</v>
      </c>
      <c r="J101" t="s">
        <v>587</v>
      </c>
      <c r="K101" t="s">
        <v>63</v>
      </c>
      <c r="L101" t="str">
        <f>IF(OR(Tableau1[[#This Row],[Type of DC]]="1 - Major",Tableau1[[#This Row],[Type of DC]]="2 - Opportunistic",Tableau1[[#This Row],[Type of DC]]="6 - Catalog"),"OUI","NON")</f>
        <v>NON</v>
      </c>
      <c r="M101" t="s">
        <v>569</v>
      </c>
      <c r="N101" t="s">
        <v>588</v>
      </c>
      <c r="O101" t="s">
        <v>589</v>
      </c>
    </row>
    <row r="102" spans="1:16" hidden="1" x14ac:dyDescent="0.35">
      <c r="A102" t="str">
        <f>UPPER(_xlfn.CONCAT(LEFT(Tableau1[[#This Row],[Supplier]],2),LEFT(Tableau1[[#This Row],[City Area]],2),LEFT(Tableau1[[#This Row],[Datacenter name (supplier code)]],4),LEFT(Tableau1[[#This Row],[Country]],2),RIGHT(Tableau1[[#This Row],[Datacenter name (supplier code)]],2)))</f>
        <v>KDCHKDDISISG</v>
      </c>
      <c r="B102" t="s">
        <v>23</v>
      </c>
      <c r="C102" t="s">
        <v>23</v>
      </c>
      <c r="D102" t="s">
        <v>28</v>
      </c>
      <c r="E102" t="s">
        <v>28</v>
      </c>
      <c r="F102" t="s">
        <v>633</v>
      </c>
      <c r="G102" t="s">
        <v>634</v>
      </c>
      <c r="H102" t="s">
        <v>635</v>
      </c>
      <c r="I102" t="s">
        <v>636</v>
      </c>
      <c r="J102" t="s">
        <v>637</v>
      </c>
      <c r="K102" t="s">
        <v>15</v>
      </c>
      <c r="L102" t="str">
        <f>IF(OR(Tableau1[[#This Row],[Type of DC]]="1 - Major",Tableau1[[#This Row],[Type of DC]]="2 - Opportunistic",Tableau1[[#This Row],[Type of DC]]="6 - Catalog"),"OUI","NON")</f>
        <v>OUI</v>
      </c>
      <c r="M102" t="s">
        <v>192</v>
      </c>
      <c r="N102" t="s">
        <v>638</v>
      </c>
      <c r="O102" t="s">
        <v>639</v>
      </c>
      <c r="P102" t="s">
        <v>640</v>
      </c>
    </row>
    <row r="103" spans="1:16" hidden="1" x14ac:dyDescent="0.35">
      <c r="A103" t="str">
        <f>UPPER(_xlfn.CONCAT(LEFT(Tableau1[[#This Row],[Supplier]],2),LEFT(Tableau1[[#This Row],[City Area]],2),LEFT(Tableau1[[#This Row],[Datacenter name (supplier code)]],4),LEFT(Tableau1[[#This Row],[Country]],2),RIGHT(Tableau1[[#This Row],[Datacenter name (supplier code)]],2)))</f>
        <v>NTSENTT SISG</v>
      </c>
      <c r="B103" t="s">
        <v>23</v>
      </c>
      <c r="C103" t="s">
        <v>23</v>
      </c>
      <c r="D103" t="s">
        <v>28</v>
      </c>
      <c r="E103" t="s">
        <v>28</v>
      </c>
      <c r="F103" t="s">
        <v>641</v>
      </c>
      <c r="G103" t="s">
        <v>207</v>
      </c>
      <c r="H103" t="s">
        <v>642</v>
      </c>
      <c r="I103" t="s">
        <v>643</v>
      </c>
      <c r="J103" t="s">
        <v>644</v>
      </c>
      <c r="K103" t="s">
        <v>15</v>
      </c>
      <c r="L103" t="str">
        <f>IF(OR(Tableau1[[#This Row],[Type of DC]]="1 - Major",Tableau1[[#This Row],[Type of DC]]="2 - Opportunistic",Tableau1[[#This Row],[Type of DC]]="6 - Catalog"),"OUI","NON")</f>
        <v>OUI</v>
      </c>
      <c r="M103" t="s">
        <v>192</v>
      </c>
      <c r="N103" t="s">
        <v>645</v>
      </c>
      <c r="O103" t="s">
        <v>646</v>
      </c>
      <c r="P103" t="s">
        <v>647</v>
      </c>
    </row>
    <row r="104" spans="1:16" hidden="1" x14ac:dyDescent="0.35">
      <c r="A104" t="str">
        <f>UPPER(_xlfn.CONCAT(LEFT(Tableau1[[#This Row],[Supplier]],2),LEFT(Tableau1[[#This Row],[City Area]],2),LEFT(Tableau1[[#This Row],[Datacenter name (supplier code)]],4),LEFT(Tableau1[[#This Row],[Country]],2),RIGHT(Tableau1[[#This Row],[Datacenter name (supplier code)]],2)))</f>
        <v>ORBUBUCAROIA</v>
      </c>
      <c r="B104" t="s">
        <v>30</v>
      </c>
      <c r="C104" t="s">
        <v>30</v>
      </c>
      <c r="D104" t="s">
        <v>599</v>
      </c>
      <c r="E104" t="s">
        <v>600</v>
      </c>
      <c r="F104" t="s">
        <v>600</v>
      </c>
      <c r="G104" t="s">
        <v>601</v>
      </c>
      <c r="H104" s="2" t="s">
        <v>602</v>
      </c>
      <c r="I104" t="s">
        <v>603</v>
      </c>
      <c r="J104" t="s">
        <v>604</v>
      </c>
      <c r="K104" t="s">
        <v>63</v>
      </c>
      <c r="L104" t="str">
        <f>IF(OR(Tableau1[[#This Row],[Type of DC]]="1 - Major",Tableau1[[#This Row],[Type of DC]]="2 - Opportunistic",Tableau1[[#This Row],[Type of DC]]="6 - Catalog"),"OUI","NON")</f>
        <v>NON</v>
      </c>
      <c r="M104" t="s">
        <v>132</v>
      </c>
      <c r="N104" t="s">
        <v>605</v>
      </c>
      <c r="O104" t="s">
        <v>606</v>
      </c>
    </row>
    <row r="105" spans="1:16" hidden="1" x14ac:dyDescent="0.35">
      <c r="A105" t="str">
        <f>UPPER(_xlfn.CONCAT(LEFT(Tableau1[[#This Row],[Supplier]],2),LEFT(Tableau1[[#This Row],[City Area]],2),LEFT(Tableau1[[#This Row],[Datacenter name (supplier code)]],4),LEFT(Tableau1[[#This Row],[Country]],2),RIGHT(Tableau1[[#This Row],[Datacenter name (supplier code)]],2)))</f>
        <v>EQAYSG1SIG1</v>
      </c>
      <c r="B105" t="s">
        <v>23</v>
      </c>
      <c r="C105" t="s">
        <v>23</v>
      </c>
      <c r="D105" t="s">
        <v>28</v>
      </c>
      <c r="E105" t="s">
        <v>28</v>
      </c>
      <c r="F105" t="s">
        <v>627</v>
      </c>
      <c r="G105" t="s">
        <v>78</v>
      </c>
      <c r="H105" s="7" t="s">
        <v>652</v>
      </c>
      <c r="I105" t="s">
        <v>653</v>
      </c>
      <c r="J105" t="s">
        <v>654</v>
      </c>
      <c r="K105" t="s">
        <v>16</v>
      </c>
      <c r="L105" t="str">
        <f>IF(OR(Tableau1[[#This Row],[Type of DC]]="1 - Major",Tableau1[[#This Row],[Type of DC]]="2 - Opportunistic",Tableau1[[#This Row],[Type of DC]]="6 - Catalog"),"OUI","NON")</f>
        <v>OUI</v>
      </c>
      <c r="M105" t="s">
        <v>74</v>
      </c>
      <c r="N105" t="s">
        <v>655</v>
      </c>
      <c r="O105" t="s">
        <v>656</v>
      </c>
      <c r="P105" t="s">
        <v>626</v>
      </c>
    </row>
    <row r="106" spans="1:16" hidden="1" x14ac:dyDescent="0.35">
      <c r="A106" t="str">
        <f>UPPER(_xlfn.CONCAT(LEFT(Tableau1[[#This Row],[Supplier]],2),LEFT(Tableau1[[#This Row],[City Area]],2),LEFT(Tableau1[[#This Row],[Datacenter name (supplier code)]],4),LEFT(Tableau1[[#This Row],[Country]],2),RIGHT(Tableau1[[#This Row],[Datacenter name (supplier code)]],2)))</f>
        <v>EQATAT2UNT2</v>
      </c>
      <c r="B106" t="s">
        <v>18</v>
      </c>
      <c r="C106" t="s">
        <v>531</v>
      </c>
      <c r="D106" t="s">
        <v>21</v>
      </c>
      <c r="E106" t="s">
        <v>608</v>
      </c>
      <c r="F106" t="s">
        <v>608</v>
      </c>
      <c r="G106" t="s">
        <v>78</v>
      </c>
      <c r="H106" s="7" t="s">
        <v>615</v>
      </c>
      <c r="I106" t="s">
        <v>616</v>
      </c>
      <c r="J106" t="s">
        <v>617</v>
      </c>
      <c r="K106" t="s">
        <v>73</v>
      </c>
      <c r="L106" t="str">
        <f>IF(OR(Tableau1[[#This Row],[Type of DC]]="1 - Major",Tableau1[[#This Row],[Type of DC]]="2 - Opportunistic",Tableau1[[#This Row],[Type of DC]]="6 - Catalog"),"OUI","NON")</f>
        <v>NON</v>
      </c>
      <c r="M106" t="s">
        <v>538</v>
      </c>
      <c r="N106" t="s">
        <v>618</v>
      </c>
      <c r="O106" t="s">
        <v>619</v>
      </c>
    </row>
    <row r="107" spans="1:16" hidden="1" x14ac:dyDescent="0.35">
      <c r="A107" t="str">
        <f>UPPER(_xlfn.CONCAT(LEFT(Tableau1[[#This Row],[Supplier]],2),LEFT(Tableau1[[#This Row],[City Area]],2),LEFT(Tableau1[[#This Row],[Datacenter name (supplier code)]],4),LEFT(Tableau1[[#This Row],[Country]],2),RIGHT(Tableau1[[#This Row],[Datacenter name (supplier code)]],2)))</f>
        <v>EQMUMB4INB4</v>
      </c>
      <c r="B107" t="s">
        <v>23</v>
      </c>
      <c r="C107" t="s">
        <v>23</v>
      </c>
      <c r="D107" t="s">
        <v>26</v>
      </c>
      <c r="E107" t="s">
        <v>437</v>
      </c>
      <c r="F107" t="s">
        <v>437</v>
      </c>
      <c r="G107" t="s">
        <v>78</v>
      </c>
      <c r="H107" s="9" t="s">
        <v>87</v>
      </c>
      <c r="I107" t="s">
        <v>972</v>
      </c>
      <c r="J107" t="s">
        <v>973</v>
      </c>
      <c r="K107" s="18" t="s">
        <v>16</v>
      </c>
      <c r="L107" t="str">
        <f>IF(OR(Tableau1[[#This Row],[Type of DC]]="1 - Major",Tableau1[[#This Row],[Type of DC]]="2 - Opportunistic",Tableau1[[#This Row],[Type of DC]]="6 - Catalog"),"OUI","NON")</f>
        <v>OUI</v>
      </c>
      <c r="M107" t="s">
        <v>74</v>
      </c>
      <c r="N107" s="19">
        <v>19.172899999999998</v>
      </c>
      <c r="O107" s="19">
        <v>72.999899999999997</v>
      </c>
      <c r="P107" t="s">
        <v>67</v>
      </c>
    </row>
    <row r="108" spans="1:16" hidden="1" x14ac:dyDescent="0.35">
      <c r="A108" t="str">
        <f>UPPER(_xlfn.CONCAT(LEFT(Tableau1[[#This Row],[Supplier]],2),LEFT(Tableau1[[#This Row],[City Area]],2),LEFT(Tableau1[[#This Row],[Datacenter name (supplier code)]],4),LEFT(Tableau1[[#This Row],[Country]],2),RIGHT(Tableau1[[#This Row],[Datacenter name (supplier code)]],2)))</f>
        <v>EQALSY5AUY5</v>
      </c>
      <c r="B108" t="s">
        <v>23</v>
      </c>
      <c r="C108" t="s">
        <v>23</v>
      </c>
      <c r="D108" t="s">
        <v>24</v>
      </c>
      <c r="E108" t="s">
        <v>68</v>
      </c>
      <c r="F108" t="s">
        <v>99</v>
      </c>
      <c r="G108" s="19" t="s">
        <v>78</v>
      </c>
      <c r="H108" s="9" t="s">
        <v>87</v>
      </c>
      <c r="I108" t="s">
        <v>979</v>
      </c>
      <c r="J108" t="s">
        <v>980</v>
      </c>
      <c r="K108" s="18" t="s">
        <v>16</v>
      </c>
      <c r="L108" t="str">
        <f>IF(OR(Tableau1[[#This Row],[Type of DC]]="1 - Major",Tableau1[[#This Row],[Type of DC]]="2 - Opportunistic",Tableau1[[#This Row],[Type of DC]]="6 - Catalog"),"OUI","NON")</f>
        <v>OUI</v>
      </c>
      <c r="M108" t="s">
        <v>74</v>
      </c>
      <c r="N108" s="19">
        <v>-33.9191</v>
      </c>
      <c r="O108" s="19">
        <v>151.18969999999999</v>
      </c>
      <c r="P108" t="s">
        <v>67</v>
      </c>
    </row>
    <row r="109" spans="1:16" hidden="1" x14ac:dyDescent="0.35">
      <c r="A109" t="str">
        <f>UPPER(_xlfn.CONCAT(LEFT(Tableau1[[#This Row],[Supplier]],2),LEFT(Tableau1[[#This Row],[City Area]],2),LEFT(Tableau1[[#This Row],[Datacenter name (supplier code)]],4),LEFT(Tableau1[[#This Row],[Country]],2),RIGHT(Tableau1[[#This Row],[Datacenter name (supplier code)]],2)))</f>
        <v>BRABBRIGUNDC</v>
      </c>
      <c r="B109" t="s">
        <v>30</v>
      </c>
      <c r="C109" t="s">
        <v>30</v>
      </c>
      <c r="D109" t="s">
        <v>45</v>
      </c>
      <c r="E109" t="s">
        <v>744</v>
      </c>
      <c r="F109" t="s">
        <v>745</v>
      </c>
      <c r="G109" t="s">
        <v>746</v>
      </c>
      <c r="H109" s="2" t="s">
        <v>602</v>
      </c>
      <c r="I109" t="s">
        <v>747</v>
      </c>
      <c r="J109" t="s">
        <v>748</v>
      </c>
      <c r="K109" t="s">
        <v>16</v>
      </c>
      <c r="L109" t="str">
        <f>IF(OR(Tableau1[[#This Row],[Type of DC]]="1 - Major",Tableau1[[#This Row],[Type of DC]]="2 - Opportunistic",Tableau1[[#This Row],[Type of DC]]="6 - Catalog"),"OUI","NON")</f>
        <v>OUI</v>
      </c>
      <c r="M109" t="s">
        <v>279</v>
      </c>
      <c r="N109" t="s">
        <v>749</v>
      </c>
      <c r="O109" t="s">
        <v>750</v>
      </c>
      <c r="P109" s="25" t="s">
        <v>1942</v>
      </c>
    </row>
    <row r="110" spans="1:16" hidden="1" x14ac:dyDescent="0.35">
      <c r="A110" t="str">
        <f>UPPER(_xlfn.CONCAT(LEFT(Tableau1[[#This Row],[Supplier]],2),LEFT(Tableau1[[#This Row],[City Area]],2),LEFT(Tableau1[[#This Row],[Datacenter name (supplier code)]],4),LEFT(Tableau1[[#This Row],[Country]],2),RIGHT(Tableau1[[#This Row],[Datacenter name (supplier code)]],2)))</f>
        <v>DIMAMRS3FRS3</v>
      </c>
      <c r="B110" t="s">
        <v>30</v>
      </c>
      <c r="C110" t="s">
        <v>30</v>
      </c>
      <c r="D110" t="s">
        <v>31</v>
      </c>
      <c r="E110" t="s">
        <v>289</v>
      </c>
      <c r="F110" t="s">
        <v>289</v>
      </c>
      <c r="G110" t="s">
        <v>246</v>
      </c>
      <c r="H110" s="9" t="s">
        <v>87</v>
      </c>
      <c r="I110" t="s">
        <v>290</v>
      </c>
      <c r="J110" t="s">
        <v>291</v>
      </c>
      <c r="K110" t="s">
        <v>16</v>
      </c>
      <c r="L110" t="str">
        <f>IF(OR(Tableau1[[#This Row],[Type of DC]]="1 - Major",Tableau1[[#This Row],[Type of DC]]="2 - Opportunistic",Tableau1[[#This Row],[Type of DC]]="6 - Catalog"),"OUI","NON")</f>
        <v>OUI</v>
      </c>
      <c r="M110" t="s">
        <v>279</v>
      </c>
      <c r="N110" t="s">
        <v>292</v>
      </c>
      <c r="O110" t="s">
        <v>293</v>
      </c>
      <c r="P110" s="25" t="s">
        <v>1938</v>
      </c>
    </row>
    <row r="111" spans="1:16" hidden="1" x14ac:dyDescent="0.35">
      <c r="A111" t="str">
        <f>UPPER(_xlfn.CONCAT(LEFT(Tableau1[[#This Row],[Supplier]],2),LEFT(Tableau1[[#This Row],[City Area]],2),LEFT(Tableau1[[#This Row],[Datacenter name (supplier code)]],4),LEFT(Tableau1[[#This Row],[Country]],2),RIGHT(Tableau1[[#This Row],[Datacenter name (supplier code)]],2)))</f>
        <v>EQCHSINXSI01</v>
      </c>
      <c r="B111" t="s">
        <v>23</v>
      </c>
      <c r="C111" t="s">
        <v>23</v>
      </c>
      <c r="D111" t="s">
        <v>28</v>
      </c>
      <c r="E111" t="s">
        <v>28</v>
      </c>
      <c r="F111" t="s">
        <v>633</v>
      </c>
      <c r="G111" t="s">
        <v>69</v>
      </c>
      <c r="H111" t="s">
        <v>648</v>
      </c>
      <c r="I111" t="s">
        <v>649</v>
      </c>
      <c r="J111" t="s">
        <v>648</v>
      </c>
      <c r="K111" t="s">
        <v>63</v>
      </c>
      <c r="L111" t="str">
        <f>IF(OR(Tableau1[[#This Row],[Type of DC]]="1 - Major",Tableau1[[#This Row],[Type of DC]]="2 - Opportunistic",Tableau1[[#This Row],[Type of DC]]="6 - Catalog"),"OUI","NON")</f>
        <v>NON</v>
      </c>
      <c r="M111" t="s">
        <v>74</v>
      </c>
      <c r="N111" t="s">
        <v>650</v>
      </c>
      <c r="O111" t="s">
        <v>651</v>
      </c>
    </row>
    <row r="112" spans="1:16" hidden="1" x14ac:dyDescent="0.35">
      <c r="A112" t="str">
        <f>UPPER(_xlfn.CONCAT(LEFT(Tableau1[[#This Row],[Supplier]],2),LEFT(Tableau1[[#This Row],[City Area]],2),LEFT(Tableau1[[#This Row],[Datacenter name (supplier code)]],4),LEFT(Tableau1[[#This Row],[Country]],2),RIGHT(Tableau1[[#This Row],[Datacenter name (supplier code)]],2)))</f>
        <v>DIMAMRS1FRS1</v>
      </c>
      <c r="B112" t="s">
        <v>30</v>
      </c>
      <c r="C112" t="s">
        <v>30</v>
      </c>
      <c r="D112" t="s">
        <v>31</v>
      </c>
      <c r="E112" t="s">
        <v>289</v>
      </c>
      <c r="F112" t="s">
        <v>289</v>
      </c>
      <c r="G112" t="s">
        <v>246</v>
      </c>
      <c r="H112" s="7" t="s">
        <v>295</v>
      </c>
      <c r="I112" t="s">
        <v>296</v>
      </c>
      <c r="J112" t="s">
        <v>297</v>
      </c>
      <c r="K112" t="s">
        <v>16</v>
      </c>
      <c r="L112" t="str">
        <f>IF(OR(Tableau1[[#This Row],[Type of DC]]="1 - Major",Tableau1[[#This Row],[Type of DC]]="2 - Opportunistic",Tableau1[[#This Row],[Type of DC]]="6 - Catalog"),"OUI","NON")</f>
        <v>OUI</v>
      </c>
      <c r="M112" t="s">
        <v>279</v>
      </c>
      <c r="N112" t="s">
        <v>298</v>
      </c>
      <c r="O112" t="s">
        <v>299</v>
      </c>
      <c r="P112" s="25" t="s">
        <v>1938</v>
      </c>
    </row>
    <row r="113" spans="1:16" hidden="1" x14ac:dyDescent="0.35">
      <c r="A113" t="str">
        <f>UPPER(_xlfn.CONCAT(LEFT(Tableau1[[#This Row],[Supplier]],2),LEFT(Tableau1[[#This Row],[City Area]],2),LEFT(Tableau1[[#This Row],[Datacenter name (supplier code)]],4),LEFT(Tableau1[[#This Row],[Country]],2),RIGHT(Tableau1[[#This Row],[Datacenter name (supplier code)]],2)))</f>
        <v>EQJOEQUASORG</v>
      </c>
      <c r="B113" t="s">
        <v>30</v>
      </c>
      <c r="C113" t="s">
        <v>30</v>
      </c>
      <c r="D113" t="s">
        <v>41</v>
      </c>
      <c r="E113" t="s">
        <v>657</v>
      </c>
      <c r="F113" t="s">
        <v>657</v>
      </c>
      <c r="G113" t="s">
        <v>69</v>
      </c>
      <c r="H113" t="s">
        <v>658</v>
      </c>
      <c r="I113" t="s">
        <v>659</v>
      </c>
      <c r="J113" t="s">
        <v>660</v>
      </c>
      <c r="K113" t="s">
        <v>379</v>
      </c>
      <c r="L113" t="str">
        <f>IF(OR(Tableau1[[#This Row],[Type of DC]]="1 - Major",Tableau1[[#This Row],[Type of DC]]="2 - Opportunistic",Tableau1[[#This Row],[Type of DC]]="6 - Catalog"),"OUI","NON")</f>
        <v>NON</v>
      </c>
      <c r="M113" t="s">
        <v>132</v>
      </c>
      <c r="N113" t="s">
        <v>661</v>
      </c>
      <c r="O113" t="s">
        <v>662</v>
      </c>
    </row>
    <row r="114" spans="1:16" hidden="1" x14ac:dyDescent="0.35">
      <c r="A114" t="str">
        <f>UPPER(_xlfn.CONCAT(LEFT(Tableau1[[#This Row],[Supplier]],2),LEFT(Tableau1[[#This Row],[City Area]],2),LEFT(Tableau1[[#This Row],[Datacenter name (supplier code)]],4),LEFT(Tableau1[[#This Row],[Country]],2),RIGHT(Tableau1[[#This Row],[Datacenter name (supplier code)]],2)))</f>
        <v>DILAPAR8FRR8</v>
      </c>
      <c r="B114" t="s">
        <v>30</v>
      </c>
      <c r="C114" t="s">
        <v>30</v>
      </c>
      <c r="D114" t="s">
        <v>31</v>
      </c>
      <c r="E114" t="s">
        <v>274</v>
      </c>
      <c r="F114" t="s">
        <v>300</v>
      </c>
      <c r="G114" t="s">
        <v>246</v>
      </c>
      <c r="H114" s="9" t="s">
        <v>87</v>
      </c>
      <c r="I114" t="s">
        <v>301</v>
      </c>
      <c r="J114" t="s">
        <v>302</v>
      </c>
      <c r="K114" t="s">
        <v>15</v>
      </c>
      <c r="L114" t="str">
        <f>IF(OR(Tableau1[[#This Row],[Type of DC]]="1 - Major",Tableau1[[#This Row],[Type of DC]]="2 - Opportunistic",Tableau1[[#This Row],[Type of DC]]="6 - Catalog"),"OUI","NON")</f>
        <v>OUI</v>
      </c>
      <c r="M114" t="s">
        <v>279</v>
      </c>
      <c r="N114" t="s">
        <v>303</v>
      </c>
      <c r="O114" t="s">
        <v>304</v>
      </c>
      <c r="P114" s="25" t="s">
        <v>1937</v>
      </c>
    </row>
    <row r="115" spans="1:16" hidden="1" x14ac:dyDescent="0.35">
      <c r="A115" t="str">
        <f>UPPER(_xlfn.CONCAT(LEFT(Tableau1[[#This Row],[Supplier]],2),LEFT(Tableau1[[#This Row],[City Area]],2),LEFT(Tableau1[[#This Row],[Datacenter name (supplier code)]],4),LEFT(Tableau1[[#This Row],[Country]],2),RIGHT(Tableau1[[#This Row],[Datacenter name (supplier code)]],2)))</f>
        <v>DISAPAR5FRR5</v>
      </c>
      <c r="B115" t="s">
        <v>30</v>
      </c>
      <c r="C115" t="s">
        <v>30</v>
      </c>
      <c r="D115" t="s">
        <v>31</v>
      </c>
      <c r="E115" t="s">
        <v>274</v>
      </c>
      <c r="F115" t="s">
        <v>305</v>
      </c>
      <c r="G115" t="s">
        <v>246</v>
      </c>
      <c r="H115" s="9" t="s">
        <v>87</v>
      </c>
      <c r="I115" t="s">
        <v>306</v>
      </c>
      <c r="J115" t="s">
        <v>307</v>
      </c>
      <c r="K115" t="s">
        <v>15</v>
      </c>
      <c r="L115" t="str">
        <f>IF(OR(Tableau1[[#This Row],[Type of DC]]="1 - Major",Tableau1[[#This Row],[Type of DC]]="2 - Opportunistic",Tableau1[[#This Row],[Type of DC]]="6 - Catalog"),"OUI","NON")</f>
        <v>OUI</v>
      </c>
      <c r="M115" t="s">
        <v>279</v>
      </c>
      <c r="N115" t="s">
        <v>308</v>
      </c>
      <c r="O115" t="s">
        <v>309</v>
      </c>
      <c r="P115" s="25" t="s">
        <v>1937</v>
      </c>
    </row>
    <row r="116" spans="1:16" hidden="1" x14ac:dyDescent="0.35">
      <c r="A116" t="str">
        <f>UPPER(_xlfn.CONCAT(LEFT(Tableau1[[#This Row],[Supplier]],2),LEFT(Tableau1[[#This Row],[City Area]],2),LEFT(Tableau1[[#This Row],[Datacenter name (supplier code)]],4),LEFT(Tableau1[[#This Row],[Country]],2),RIGHT(Tableau1[[#This Row],[Datacenter name (supplier code)]],2)))</f>
        <v>ORSTSTH2SWH2</v>
      </c>
      <c r="B116" t="s">
        <v>30</v>
      </c>
      <c r="C116" t="s">
        <v>30</v>
      </c>
      <c r="D116" t="s">
        <v>675</v>
      </c>
      <c r="E116" t="s">
        <v>676</v>
      </c>
      <c r="F116" t="s">
        <v>676</v>
      </c>
      <c r="G116" t="s">
        <v>584</v>
      </c>
      <c r="H116" s="6" t="s">
        <v>677</v>
      </c>
      <c r="I116" t="s">
        <v>678</v>
      </c>
      <c r="J116" t="s">
        <v>677</v>
      </c>
      <c r="K116" t="s">
        <v>63</v>
      </c>
      <c r="L116" t="str">
        <f>IF(OR(Tableau1[[#This Row],[Type of DC]]="1 - Major",Tableau1[[#This Row],[Type of DC]]="2 - Opportunistic",Tableau1[[#This Row],[Type of DC]]="6 - Catalog"),"OUI","NON")</f>
        <v>NON</v>
      </c>
      <c r="M116" t="s">
        <v>569</v>
      </c>
      <c r="N116" t="s">
        <v>679</v>
      </c>
      <c r="O116" t="s">
        <v>680</v>
      </c>
    </row>
    <row r="117" spans="1:16" hidden="1" x14ac:dyDescent="0.35">
      <c r="A117" t="str">
        <f>UPPER(_xlfn.CONCAT(LEFT(Tableau1[[#This Row],[Supplier]],2),LEFT(Tableau1[[#This Row],[City Area]],2),LEFT(Tableau1[[#This Row],[Datacenter name (supplier code)]],4),LEFT(Tableau1[[#This Row],[Country]],2),RIGHT(Tableau1[[#This Row],[Datacenter name (supplier code)]],2)))</f>
        <v xml:space="preserve">STSTSTO0SW1 </v>
      </c>
      <c r="B117" t="s">
        <v>30</v>
      </c>
      <c r="C117" t="s">
        <v>30</v>
      </c>
      <c r="D117" t="s">
        <v>675</v>
      </c>
      <c r="E117" t="s">
        <v>676</v>
      </c>
      <c r="F117" t="s">
        <v>676</v>
      </c>
      <c r="G117" t="s">
        <v>681</v>
      </c>
      <c r="H117" s="6" t="s">
        <v>682</v>
      </c>
      <c r="I117" t="s">
        <v>683</v>
      </c>
      <c r="J117" t="s">
        <v>684</v>
      </c>
      <c r="K117" t="s">
        <v>63</v>
      </c>
      <c r="L117" t="str">
        <f>IF(OR(Tableau1[[#This Row],[Type of DC]]="1 - Major",Tableau1[[#This Row],[Type of DC]]="2 - Opportunistic",Tableau1[[#This Row],[Type of DC]]="6 - Catalog"),"OUI","NON")</f>
        <v>NON</v>
      </c>
      <c r="M117" t="s">
        <v>569</v>
      </c>
      <c r="N117" t="s">
        <v>685</v>
      </c>
      <c r="O117" t="s">
        <v>686</v>
      </c>
    </row>
    <row r="118" spans="1:16" hidden="1" x14ac:dyDescent="0.35">
      <c r="A118" t="str">
        <f>UPPER(_xlfn.CONCAT(LEFT(Tableau1[[#This Row],[Supplier]],2),LEFT(Tableau1[[#This Row],[City Area]],2),LEFT(Tableau1[[#This Row],[Datacenter name (supplier code)]],4),LEFT(Tableau1[[#This Row],[Country]],2),RIGHT(Tableau1[[#This Row],[Datacenter name (supplier code)]],2)))</f>
        <v>DISTSTO1SWO1</v>
      </c>
      <c r="B118" t="s">
        <v>30</v>
      </c>
      <c r="C118" t="s">
        <v>30</v>
      </c>
      <c r="D118" t="s">
        <v>675</v>
      </c>
      <c r="E118" t="s">
        <v>676</v>
      </c>
      <c r="F118" t="s">
        <v>676</v>
      </c>
      <c r="G118" t="s">
        <v>246</v>
      </c>
      <c r="H118" s="6" t="s">
        <v>687</v>
      </c>
      <c r="I118" t="s">
        <v>688</v>
      </c>
      <c r="J118" t="s">
        <v>689</v>
      </c>
      <c r="K118" t="s">
        <v>63</v>
      </c>
      <c r="L118" t="str">
        <f>IF(OR(Tableau1[[#This Row],[Type of DC]]="1 - Major",Tableau1[[#This Row],[Type of DC]]="2 - Opportunistic",Tableau1[[#This Row],[Type of DC]]="6 - Catalog"),"OUI","NON")</f>
        <v>NON</v>
      </c>
      <c r="M118" t="s">
        <v>569</v>
      </c>
      <c r="N118" t="s">
        <v>690</v>
      </c>
      <c r="O118" t="s">
        <v>691</v>
      </c>
    </row>
    <row r="119" spans="1:16" hidden="1" x14ac:dyDescent="0.35">
      <c r="A119" t="str">
        <f>UPPER(_xlfn.CONCAT(LEFT(Tableau1[[#This Row],[Supplier]],2),LEFT(Tableau1[[#This Row],[City Area]],2),LEFT(Tableau1[[#This Row],[Datacenter name (supplier code)]],4),LEFT(Tableau1[[#This Row],[Country]],2),RIGHT(Tableau1[[#This Row],[Datacenter name (supplier code)]],2)))</f>
        <v>EQGEGENESW01</v>
      </c>
      <c r="B119" t="s">
        <v>30</v>
      </c>
      <c r="C119" t="s">
        <v>30</v>
      </c>
      <c r="D119" t="s">
        <v>43</v>
      </c>
      <c r="E119" t="s">
        <v>692</v>
      </c>
      <c r="F119" t="s">
        <v>692</v>
      </c>
      <c r="G119" t="s">
        <v>69</v>
      </c>
      <c r="H119" t="s">
        <v>693</v>
      </c>
      <c r="I119" t="s">
        <v>694</v>
      </c>
      <c r="J119" t="s">
        <v>695</v>
      </c>
      <c r="K119" t="s">
        <v>63</v>
      </c>
      <c r="L119" t="str">
        <f>IF(OR(Tableau1[[#This Row],[Type of DC]]="1 - Major",Tableau1[[#This Row],[Type of DC]]="2 - Opportunistic",Tableau1[[#This Row],[Type of DC]]="6 - Catalog"),"OUI","NON")</f>
        <v>NON</v>
      </c>
      <c r="M119" t="s">
        <v>414</v>
      </c>
      <c r="N119" s="20">
        <v>46.1863095</v>
      </c>
      <c r="O119" s="20">
        <v>6.1281363000000004</v>
      </c>
    </row>
    <row r="120" spans="1:16" hidden="1" x14ac:dyDescent="0.35">
      <c r="A120" t="str">
        <f>UPPER(_xlfn.CONCAT(LEFT(Tableau1[[#This Row],[Supplier]],2),LEFT(Tableau1[[#This Row],[City Area]],2),LEFT(Tableau1[[#This Row],[Datacenter name (supplier code)]],4),LEFT(Tableau1[[#This Row],[Country]],2),RIGHT(Tableau1[[#This Row],[Datacenter name (supplier code)]],2)))</f>
        <v>SAGEGENESWST</v>
      </c>
      <c r="B120" t="s">
        <v>30</v>
      </c>
      <c r="C120" t="s">
        <v>30</v>
      </c>
      <c r="D120" t="s">
        <v>43</v>
      </c>
      <c r="E120" t="s">
        <v>692</v>
      </c>
      <c r="F120" t="s">
        <v>692</v>
      </c>
      <c r="G120" t="s">
        <v>696</v>
      </c>
      <c r="H120" t="s">
        <v>697</v>
      </c>
      <c r="I120" t="s">
        <v>698</v>
      </c>
      <c r="J120" t="s">
        <v>699</v>
      </c>
      <c r="K120" t="s">
        <v>73</v>
      </c>
      <c r="L120" t="str">
        <f>IF(OR(Tableau1[[#This Row],[Type of DC]]="1 - Major",Tableau1[[#This Row],[Type of DC]]="2 - Opportunistic",Tableau1[[#This Row],[Type of DC]]="6 - Catalog"),"OUI","NON")</f>
        <v>NON</v>
      </c>
      <c r="M120" t="s">
        <v>414</v>
      </c>
      <c r="N120" s="20">
        <v>46.165445052323697</v>
      </c>
      <c r="O120" s="20">
        <v>6.1071596776443702</v>
      </c>
    </row>
    <row r="121" spans="1:16" hidden="1" x14ac:dyDescent="0.35">
      <c r="A121" t="str">
        <f>UPPER(_xlfn.CONCAT(LEFT(Tableau1[[#This Row],[Supplier]],2),LEFT(Tableau1[[#This Row],[City Area]],2),LEFT(Tableau1[[#This Row],[Datacenter name (supplier code)]],4),LEFT(Tableau1[[#This Row],[Country]],2),RIGHT(Tableau1[[#This Row],[Datacenter name (supplier code)]],2)))</f>
        <v>EOGRMANGFRN1</v>
      </c>
      <c r="B121" t="s">
        <v>30</v>
      </c>
      <c r="C121" t="s">
        <v>30</v>
      </c>
      <c r="D121" t="s">
        <v>31</v>
      </c>
      <c r="E121" t="s">
        <v>310</v>
      </c>
      <c r="F121" t="s">
        <v>310</v>
      </c>
      <c r="G121" t="s">
        <v>311</v>
      </c>
      <c r="H121" s="9" t="s">
        <v>87</v>
      </c>
      <c r="I121" t="s">
        <v>312</v>
      </c>
      <c r="J121" t="s">
        <v>313</v>
      </c>
      <c r="K121" t="s">
        <v>15</v>
      </c>
      <c r="L121" t="str">
        <f>IF(OR(Tableau1[[#This Row],[Type of DC]]="1 - Major",Tableau1[[#This Row],[Type of DC]]="2 - Opportunistic",Tableau1[[#This Row],[Type of DC]]="6 - Catalog"),"OUI","NON")</f>
        <v>OUI</v>
      </c>
      <c r="M121" t="s">
        <v>279</v>
      </c>
      <c r="N121" t="s">
        <v>314</v>
      </c>
      <c r="O121" t="s">
        <v>315</v>
      </c>
      <c r="P121" s="25" t="s">
        <v>1939</v>
      </c>
    </row>
    <row r="122" spans="1:16" hidden="1" x14ac:dyDescent="0.35">
      <c r="A122" t="str">
        <f>UPPER(_xlfn.CONCAT(LEFT(Tableau1[[#This Row],[Supplier]],2),LEFT(Tableau1[[#This Row],[City Area]],2),LEFT(Tableau1[[#This Row],[Datacenter name (supplier code)]],4),LEFT(Tableau1[[#This Row],[Country]],2),RIGHT(Tableau1[[#This Row],[Datacenter name (supplier code)]],2)))</f>
        <v>EQGEGV2SWV2</v>
      </c>
      <c r="B122" t="s">
        <v>30</v>
      </c>
      <c r="C122" t="s">
        <v>30</v>
      </c>
      <c r="D122" t="s">
        <v>43</v>
      </c>
      <c r="E122" t="s">
        <v>692</v>
      </c>
      <c r="F122" t="s">
        <v>692</v>
      </c>
      <c r="G122" t="s">
        <v>78</v>
      </c>
      <c r="H122" t="s">
        <v>705</v>
      </c>
      <c r="I122" t="s">
        <v>706</v>
      </c>
      <c r="J122" t="s">
        <v>707</v>
      </c>
      <c r="K122" t="s">
        <v>63</v>
      </c>
      <c r="L122" t="str">
        <f>IF(OR(Tableau1[[#This Row],[Type of DC]]="1 - Major",Tableau1[[#This Row],[Type of DC]]="2 - Opportunistic",Tableau1[[#This Row],[Type of DC]]="6 - Catalog"),"OUI","NON")</f>
        <v>NON</v>
      </c>
      <c r="M122" t="s">
        <v>414</v>
      </c>
      <c r="N122" s="20">
        <v>46.208035059847099</v>
      </c>
      <c r="O122" s="20">
        <v>6.0978154611723099</v>
      </c>
    </row>
    <row r="123" spans="1:16" hidden="1" x14ac:dyDescent="0.35">
      <c r="A123" t="str">
        <f>UPPER(_xlfn.CONCAT(LEFT(Tableau1[[#This Row],[Supplier]],2),LEFT(Tableau1[[#This Row],[City Area]],2),LEFT(Tableau1[[#This Row],[Datacenter name (supplier code)]],4),LEFT(Tableau1[[#This Row],[Country]],2),RIGHT(Tableau1[[#This Row],[Datacenter name (supplier code)]],2)))</f>
        <v>EQGEGV1SWV1</v>
      </c>
      <c r="B123" t="s">
        <v>30</v>
      </c>
      <c r="C123" t="s">
        <v>30</v>
      </c>
      <c r="D123" t="s">
        <v>43</v>
      </c>
      <c r="E123" t="s">
        <v>692</v>
      </c>
      <c r="F123" t="s">
        <v>692</v>
      </c>
      <c r="G123" t="s">
        <v>78</v>
      </c>
      <c r="H123" s="2" t="s">
        <v>705</v>
      </c>
      <c r="I123" t="s">
        <v>708</v>
      </c>
      <c r="J123" t="s">
        <v>709</v>
      </c>
      <c r="K123" t="s">
        <v>63</v>
      </c>
      <c r="L123" t="str">
        <f>IF(OR(Tableau1[[#This Row],[Type of DC]]="1 - Major",Tableau1[[#This Row],[Type of DC]]="2 - Opportunistic",Tableau1[[#This Row],[Type of DC]]="6 - Catalog"),"OUI","NON")</f>
        <v>NON</v>
      </c>
      <c r="M123" t="s">
        <v>414</v>
      </c>
      <c r="N123" s="20">
        <v>46.203525603087897</v>
      </c>
      <c r="O123" s="20">
        <v>6.1444781720660497</v>
      </c>
    </row>
    <row r="124" spans="1:16" hidden="1" x14ac:dyDescent="0.35">
      <c r="A124" t="str">
        <f>UPPER(_xlfn.CONCAT(LEFT(Tableau1[[#This Row],[Supplier]],2),LEFT(Tableau1[[#This Row],[City Area]],2),LEFT(Tableau1[[#This Row],[Datacenter name (supplier code)]],4),LEFT(Tableau1[[#This Row],[Country]],2),RIGHT(Tableau1[[#This Row],[Datacenter name (supplier code)]],2)))</f>
        <v>EQZUZH2SWH2</v>
      </c>
      <c r="B124" t="s">
        <v>30</v>
      </c>
      <c r="C124" t="s">
        <v>30</v>
      </c>
      <c r="D124" t="s">
        <v>43</v>
      </c>
      <c r="E124" t="s">
        <v>700</v>
      </c>
      <c r="F124" t="s">
        <v>700</v>
      </c>
      <c r="G124" t="s">
        <v>78</v>
      </c>
      <c r="H124" s="9" t="s">
        <v>87</v>
      </c>
      <c r="I124" t="s">
        <v>710</v>
      </c>
      <c r="J124" t="s">
        <v>711</v>
      </c>
      <c r="K124" t="s">
        <v>63</v>
      </c>
      <c r="L124" t="str">
        <f>IF(OR(Tableau1[[#This Row],[Type of DC]]="1 - Major",Tableau1[[#This Row],[Type of DC]]="2 - Opportunistic",Tableau1[[#This Row],[Type of DC]]="6 - Catalog"),"OUI","NON")</f>
        <v>NON</v>
      </c>
      <c r="M124" t="s">
        <v>414</v>
      </c>
      <c r="N124" s="20">
        <v>47.389988713676999</v>
      </c>
      <c r="O124" s="20">
        <v>8.5203577438450999</v>
      </c>
    </row>
    <row r="125" spans="1:16" hidden="1" x14ac:dyDescent="0.35">
      <c r="A125" t="str">
        <f>UPPER(_xlfn.CONCAT(LEFT(Tableau1[[#This Row],[Supplier]],2),LEFT(Tableau1[[#This Row],[City Area]],2),LEFT(Tableau1[[#This Row],[Datacenter name (supplier code)]],4),LEFT(Tableau1[[#This Row],[Country]],2),RIGHT(Tableau1[[#This Row],[Datacenter name (supplier code)]],2)))</f>
        <v>EQZUZH4SWH4</v>
      </c>
      <c r="B125" t="s">
        <v>30</v>
      </c>
      <c r="C125" t="s">
        <v>30</v>
      </c>
      <c r="D125" t="s">
        <v>43</v>
      </c>
      <c r="E125" t="s">
        <v>700</v>
      </c>
      <c r="F125" t="s">
        <v>700</v>
      </c>
      <c r="G125" t="s">
        <v>78</v>
      </c>
      <c r="H125" s="9" t="s">
        <v>87</v>
      </c>
      <c r="I125" t="s">
        <v>710</v>
      </c>
      <c r="J125" t="s">
        <v>712</v>
      </c>
      <c r="K125" t="s">
        <v>63</v>
      </c>
      <c r="L125" t="str">
        <f>IF(OR(Tableau1[[#This Row],[Type of DC]]="1 - Major",Tableau1[[#This Row],[Type of DC]]="2 - Opportunistic",Tableau1[[#This Row],[Type of DC]]="6 - Catalog"),"OUI","NON")</f>
        <v>NON</v>
      </c>
      <c r="M125" t="s">
        <v>414</v>
      </c>
      <c r="N125" s="20">
        <v>47.389988713677901</v>
      </c>
      <c r="O125" s="20">
        <v>8.5203577438451106</v>
      </c>
    </row>
    <row r="126" spans="1:16" hidden="1" x14ac:dyDescent="0.35">
      <c r="A126" t="str">
        <f>UPPER(_xlfn.CONCAT(LEFT(Tableau1[[#This Row],[Supplier]],2),LEFT(Tableau1[[#This Row],[City Area]],2),LEFT(Tableau1[[#This Row],[Datacenter name (supplier code)]],4),LEFT(Tableau1[[#This Row],[Country]],2),RIGHT(Tableau1[[#This Row],[Datacenter name (supplier code)]],2)))</f>
        <v>EQZUZH5SWH5</v>
      </c>
      <c r="B126" t="s">
        <v>30</v>
      </c>
      <c r="C126" t="s">
        <v>30</v>
      </c>
      <c r="D126" t="s">
        <v>43</v>
      </c>
      <c r="E126" t="s">
        <v>700</v>
      </c>
      <c r="F126" t="s">
        <v>700</v>
      </c>
      <c r="G126" t="s">
        <v>78</v>
      </c>
      <c r="H126" s="9" t="s">
        <v>87</v>
      </c>
      <c r="I126" t="s">
        <v>713</v>
      </c>
      <c r="J126" t="s">
        <v>714</v>
      </c>
      <c r="K126" t="s">
        <v>63</v>
      </c>
      <c r="L126" t="str">
        <f>IF(OR(Tableau1[[#This Row],[Type of DC]]="1 - Major",Tableau1[[#This Row],[Type of DC]]="2 - Opportunistic",Tableau1[[#This Row],[Type of DC]]="6 - Catalog"),"OUI","NON")</f>
        <v>NON</v>
      </c>
      <c r="M126" t="s">
        <v>414</v>
      </c>
      <c r="N126" s="20">
        <v>47.412247445031902</v>
      </c>
      <c r="O126" s="20">
        <v>8.4622249058040993</v>
      </c>
    </row>
    <row r="127" spans="1:16" hidden="1" x14ac:dyDescent="0.35">
      <c r="A127" t="str">
        <f>UPPER(_xlfn.CONCAT(LEFT(Tableau1[[#This Row],[Supplier]],2),LEFT(Tableau1[[#This Row],[City Area]],2),LEFT(Tableau1[[#This Row],[Datacenter name (supplier code)]],4),LEFT(Tableau1[[#This Row],[Country]],2),RIGHT(Tableau1[[#This Row],[Datacenter name (supplier code)]],2)))</f>
        <v>NGISSTARTUDC</v>
      </c>
      <c r="B127" t="s">
        <v>30</v>
      </c>
      <c r="C127" t="s">
        <v>30</v>
      </c>
      <c r="D127" t="s">
        <v>715</v>
      </c>
      <c r="E127" t="s">
        <v>716</v>
      </c>
      <c r="F127" t="s">
        <v>716</v>
      </c>
      <c r="G127" t="s">
        <v>717</v>
      </c>
      <c r="H127" s="2" t="s">
        <v>602</v>
      </c>
      <c r="I127" t="s">
        <v>718</v>
      </c>
      <c r="J127" t="s">
        <v>719</v>
      </c>
      <c r="K127" t="s">
        <v>63</v>
      </c>
      <c r="L127" t="str">
        <f>IF(OR(Tableau1[[#This Row],[Type of DC]]="1 - Major",Tableau1[[#This Row],[Type of DC]]="2 - Opportunistic",Tableau1[[#This Row],[Type of DC]]="6 - Catalog"),"OUI","NON")</f>
        <v>NON</v>
      </c>
      <c r="M127" t="s">
        <v>132</v>
      </c>
      <c r="N127" t="s">
        <v>720</v>
      </c>
      <c r="O127" t="s">
        <v>721</v>
      </c>
    </row>
    <row r="128" spans="1:16" hidden="1" x14ac:dyDescent="0.35">
      <c r="A128" t="str">
        <f>UPPER(_xlfn.CONCAT(LEFT(Tableau1[[#This Row],[Supplier]],2),LEFT(Tableau1[[#This Row],[City Area]],2),LEFT(Tableau1[[#This Row],[Datacenter name (supplier code)]],4),LEFT(Tableau1[[#This Row],[Country]],2),RIGHT(Tableau1[[#This Row],[Datacenter name (supplier code)]],2)))</f>
        <v>RAISRADOTURE</v>
      </c>
      <c r="B128" t="s">
        <v>30</v>
      </c>
      <c r="C128" t="s">
        <v>30</v>
      </c>
      <c r="D128" t="s">
        <v>715</v>
      </c>
      <c r="E128" t="s">
        <v>716</v>
      </c>
      <c r="F128" t="s">
        <v>716</v>
      </c>
      <c r="G128" t="s">
        <v>722</v>
      </c>
      <c r="H128" s="2" t="s">
        <v>602</v>
      </c>
      <c r="I128" t="s">
        <v>723</v>
      </c>
      <c r="J128" t="s">
        <v>722</v>
      </c>
      <c r="K128" t="s">
        <v>63</v>
      </c>
      <c r="L128" t="str">
        <f>IF(OR(Tableau1[[#This Row],[Type of DC]]="1 - Major",Tableau1[[#This Row],[Type of DC]]="2 - Opportunistic",Tableau1[[#This Row],[Type of DC]]="6 - Catalog"),"OUI","NON")</f>
        <v>NON</v>
      </c>
      <c r="M128" t="s">
        <v>132</v>
      </c>
      <c r="N128" t="s">
        <v>724</v>
      </c>
      <c r="O128" t="s">
        <v>725</v>
      </c>
    </row>
    <row r="129" spans="1:16" hidden="1" x14ac:dyDescent="0.35">
      <c r="A129" t="str">
        <f>UPPER(_xlfn.CONCAT(LEFT(Tableau1[[#This Row],[Supplier]],2),LEFT(Tableau1[[#This Row],[City Area]],2),LEFT(Tableau1[[#This Row],[Datacenter name (supplier code)]],4),LEFT(Tableau1[[#This Row],[Country]],2),RIGHT(Tableau1[[#This Row],[Datacenter name (supplier code)]],2)))</f>
        <v>EQAMAM1NEM1</v>
      </c>
      <c r="B129" t="s">
        <v>30</v>
      </c>
      <c r="C129" t="s">
        <v>30</v>
      </c>
      <c r="D129" t="s">
        <v>36</v>
      </c>
      <c r="E129" t="s">
        <v>470</v>
      </c>
      <c r="F129" t="s">
        <v>470</v>
      </c>
      <c r="G129" t="s">
        <v>78</v>
      </c>
      <c r="H129" s="7" t="s">
        <v>541</v>
      </c>
      <c r="I129" t="s">
        <v>542</v>
      </c>
      <c r="J129" t="s">
        <v>543</v>
      </c>
      <c r="K129" t="s">
        <v>16</v>
      </c>
      <c r="L129" t="str">
        <f>IF(OR(Tableau1[[#This Row],[Type of DC]]="1 - Major",Tableau1[[#This Row],[Type of DC]]="2 - Opportunistic",Tableau1[[#This Row],[Type of DC]]="6 - Catalog"),"OUI","NON")</f>
        <v>OUI</v>
      </c>
      <c r="M129" t="s">
        <v>132</v>
      </c>
      <c r="N129" t="s">
        <v>544</v>
      </c>
      <c r="O129" t="s">
        <v>545</v>
      </c>
      <c r="P129" s="25" t="s">
        <v>1944</v>
      </c>
    </row>
    <row r="130" spans="1:16" hidden="1" x14ac:dyDescent="0.35">
      <c r="A130" t="str">
        <f>UPPER(_xlfn.CONCAT(LEFT(Tableau1[[#This Row],[Supplier]],2),LEFT(Tableau1[[#This Row],[City Area]],2),LEFT(Tableau1[[#This Row],[Datacenter name (supplier code)]],4),LEFT(Tableau1[[#This Row],[Country]],2),RIGHT(Tableau1[[#This Row],[Datacenter name (supplier code)]],2)))</f>
        <v>EQLOLONDUNSE</v>
      </c>
      <c r="B130" t="s">
        <v>30</v>
      </c>
      <c r="C130" t="s">
        <v>30</v>
      </c>
      <c r="D130" t="s">
        <v>45</v>
      </c>
      <c r="E130" t="s">
        <v>732</v>
      </c>
      <c r="F130" t="s">
        <v>732</v>
      </c>
      <c r="G130" t="s">
        <v>69</v>
      </c>
      <c r="H130" t="s">
        <v>733</v>
      </c>
      <c r="I130" t="s">
        <v>734</v>
      </c>
      <c r="J130" t="s">
        <v>735</v>
      </c>
      <c r="K130" t="s">
        <v>73</v>
      </c>
      <c r="L130" t="str">
        <f>IF(OR(Tableau1[[#This Row],[Type of DC]]="1 - Major",Tableau1[[#This Row],[Type of DC]]="2 - Opportunistic",Tableau1[[#This Row],[Type of DC]]="6 - Catalog"),"OUI","NON")</f>
        <v>NON</v>
      </c>
      <c r="M130" t="s">
        <v>279</v>
      </c>
      <c r="N130" t="s">
        <v>736</v>
      </c>
      <c r="O130" t="s">
        <v>737</v>
      </c>
    </row>
    <row r="131" spans="1:16" ht="29" hidden="1" x14ac:dyDescent="0.35">
      <c r="A131" t="str">
        <f>UPPER(_xlfn.CONCAT(LEFT(Tableau1[[#This Row],[Supplier]],2),LEFT(Tableau1[[#This Row],[City Area]],2),LEFT(Tableau1[[#This Row],[Datacenter name (supplier code)]],4),LEFT(Tableau1[[#This Row],[Country]],2),RIGHT(Tableau1[[#This Row],[Datacenter name (supplier code)]],2)))</f>
        <v>EQROPARKUNAL</v>
      </c>
      <c r="B131" t="s">
        <v>30</v>
      </c>
      <c r="C131" t="s">
        <v>30</v>
      </c>
      <c r="D131" t="s">
        <v>45</v>
      </c>
      <c r="E131" t="s">
        <v>732</v>
      </c>
      <c r="F131" t="s">
        <v>738</v>
      </c>
      <c r="G131" t="s">
        <v>69</v>
      </c>
      <c r="H131" t="s">
        <v>739</v>
      </c>
      <c r="I131" s="4" t="s">
        <v>740</v>
      </c>
      <c r="J131" t="s">
        <v>741</v>
      </c>
      <c r="K131" t="s">
        <v>379</v>
      </c>
      <c r="L131" t="str">
        <f>IF(OR(Tableau1[[#This Row],[Type of DC]]="1 - Major",Tableau1[[#This Row],[Type of DC]]="2 - Opportunistic",Tableau1[[#This Row],[Type of DC]]="6 - Catalog"),"OUI","NON")</f>
        <v>NON</v>
      </c>
      <c r="M131" t="s">
        <v>279</v>
      </c>
      <c r="N131" t="s">
        <v>742</v>
      </c>
      <c r="O131" t="s">
        <v>743</v>
      </c>
    </row>
    <row r="132" spans="1:16" hidden="1" x14ac:dyDescent="0.35">
      <c r="A132" t="str">
        <f>UPPER(_xlfn.CONCAT(LEFT(Tableau1[[#This Row],[Supplier]],2),LEFT(Tableau1[[#This Row],[City Area]],2),LEFT(Tableau1[[#This Row],[Datacenter name (supplier code)]],4),LEFT(Tableau1[[#This Row],[Country]],2),RIGHT(Tableau1[[#This Row],[Datacenter name (supplier code)]],2)))</f>
        <v>EQCACASAMA01</v>
      </c>
      <c r="B132" t="s">
        <v>30</v>
      </c>
      <c r="C132" t="s">
        <v>30</v>
      </c>
      <c r="D132" t="s">
        <v>35</v>
      </c>
      <c r="E132" t="s">
        <v>520</v>
      </c>
      <c r="F132" t="s">
        <v>520</v>
      </c>
      <c r="G132" t="s">
        <v>69</v>
      </c>
      <c r="H132" s="7" t="s">
        <v>521</v>
      </c>
      <c r="I132" t="s">
        <v>522</v>
      </c>
      <c r="J132" s="3" t="s">
        <v>521</v>
      </c>
      <c r="K132" t="s">
        <v>16</v>
      </c>
      <c r="L132" t="str">
        <f>IF(OR(Tableau1[[#This Row],[Type of DC]]="1 - Major",Tableau1[[#This Row],[Type of DC]]="2 - Opportunistic",Tableau1[[#This Row],[Type of DC]]="6 - Catalog"),"OUI","NON")</f>
        <v>OUI</v>
      </c>
      <c r="M132" t="s">
        <v>132</v>
      </c>
      <c r="N132" t="s">
        <v>523</v>
      </c>
      <c r="O132" t="s">
        <v>524</v>
      </c>
      <c r="P132" s="25" t="s">
        <v>1951</v>
      </c>
    </row>
    <row r="133" spans="1:16" hidden="1" x14ac:dyDescent="0.35">
      <c r="A133" t="str">
        <f>UPPER(_xlfn.CONCAT(LEFT(Tableau1[[#This Row],[Supplier]],2),LEFT(Tableau1[[#This Row],[City Area]],2),LEFT(Tableau1[[#This Row],[Datacenter name (supplier code)]],4),LEFT(Tableau1[[#This Row],[Country]],2),RIGHT(Tableau1[[#This Row],[Datacenter name (supplier code)]],2)))</f>
        <v>EQHOEQUAUNSE</v>
      </c>
      <c r="B133" t="s">
        <v>30</v>
      </c>
      <c r="C133" t="s">
        <v>30</v>
      </c>
      <c r="D133" t="s">
        <v>45</v>
      </c>
      <c r="E133" t="s">
        <v>732</v>
      </c>
      <c r="F133" t="s">
        <v>752</v>
      </c>
      <c r="G133" t="s">
        <v>69</v>
      </c>
      <c r="H133" t="s">
        <v>753</v>
      </c>
      <c r="I133" t="s">
        <v>754</v>
      </c>
      <c r="J133" t="s">
        <v>755</v>
      </c>
      <c r="K133" t="s">
        <v>379</v>
      </c>
      <c r="L133" t="str">
        <f>IF(OR(Tableau1[[#This Row],[Type of DC]]="1 - Major",Tableau1[[#This Row],[Type of DC]]="2 - Opportunistic",Tableau1[[#This Row],[Type of DC]]="6 - Catalog"),"OUI","NON")</f>
        <v>NON</v>
      </c>
      <c r="M133" t="s">
        <v>279</v>
      </c>
      <c r="N133" t="s">
        <v>756</v>
      </c>
      <c r="O133" t="s">
        <v>757</v>
      </c>
    </row>
    <row r="134" spans="1:16" hidden="1" x14ac:dyDescent="0.35">
      <c r="A134" t="str">
        <f>UPPER(_xlfn.CONCAT(LEFT(Tableau1[[#This Row],[Supplier]],2),LEFT(Tableau1[[#This Row],[City Area]],2),LEFT(Tableau1[[#This Row],[Datacenter name (supplier code)]],4),LEFT(Tableau1[[#This Row],[Country]],2),RIGHT(Tableau1[[#This Row],[Datacenter name (supplier code)]],2)))</f>
        <v>EQAMAM2NEM2</v>
      </c>
      <c r="B134" t="s">
        <v>30</v>
      </c>
      <c r="C134" t="s">
        <v>30</v>
      </c>
      <c r="D134" t="s">
        <v>36</v>
      </c>
      <c r="E134" t="s">
        <v>470</v>
      </c>
      <c r="F134" t="s">
        <v>470</v>
      </c>
      <c r="G134" t="s">
        <v>78</v>
      </c>
      <c r="H134" s="9" t="s">
        <v>87</v>
      </c>
      <c r="I134" t="s">
        <v>542</v>
      </c>
      <c r="J134" t="s">
        <v>546</v>
      </c>
      <c r="K134" t="s">
        <v>16</v>
      </c>
      <c r="L134" t="str">
        <f>IF(OR(Tableau1[[#This Row],[Type of DC]]="1 - Major",Tableau1[[#This Row],[Type of DC]]="2 - Opportunistic",Tableau1[[#This Row],[Type of DC]]="6 - Catalog"),"OUI","NON")</f>
        <v>OUI</v>
      </c>
      <c r="M134" t="s">
        <v>132</v>
      </c>
      <c r="N134" t="s">
        <v>544</v>
      </c>
      <c r="O134" t="s">
        <v>545</v>
      </c>
      <c r="P134" s="25" t="s">
        <v>1944</v>
      </c>
    </row>
    <row r="135" spans="1:16" hidden="1" x14ac:dyDescent="0.35">
      <c r="A135" t="str">
        <f>UPPER(_xlfn.CONCAT(LEFT(Tableau1[[#This Row],[Supplier]],2),LEFT(Tableau1[[#This Row],[City Area]],2),LEFT(Tableau1[[#This Row],[Datacenter name (supplier code)]],4),LEFT(Tableau1[[#This Row],[Country]],2),RIGHT(Tableau1[[#This Row],[Datacenter name (supplier code)]],2)))</f>
        <v>EQBOBX1FRX1</v>
      </c>
      <c r="B135" t="s">
        <v>30</v>
      </c>
      <c r="C135" t="s">
        <v>30</v>
      </c>
      <c r="D135" t="s">
        <v>31</v>
      </c>
      <c r="E135" t="s">
        <v>317</v>
      </c>
      <c r="F135" t="s">
        <v>317</v>
      </c>
      <c r="G135" t="s">
        <v>78</v>
      </c>
      <c r="H135" s="7" t="s">
        <v>318</v>
      </c>
      <c r="I135" t="s">
        <v>319</v>
      </c>
      <c r="J135" t="s">
        <v>320</v>
      </c>
      <c r="K135" t="s">
        <v>16</v>
      </c>
      <c r="L135" t="str">
        <f>IF(OR(Tableau1[[#This Row],[Type of DC]]="1 - Major",Tableau1[[#This Row],[Type of DC]]="2 - Opportunistic",Tableau1[[#This Row],[Type of DC]]="6 - Catalog"),"OUI","NON")</f>
        <v>OUI</v>
      </c>
      <c r="M135" t="s">
        <v>279</v>
      </c>
      <c r="N135" t="s">
        <v>321</v>
      </c>
      <c r="O135" t="s">
        <v>322</v>
      </c>
      <c r="P135" t="s">
        <v>1935</v>
      </c>
    </row>
    <row r="136" spans="1:16" hidden="1" x14ac:dyDescent="0.35">
      <c r="A136" t="str">
        <f>UPPER(_xlfn.CONCAT(LEFT(Tableau1[[#This Row],[Supplier]],2),LEFT(Tableau1[[#This Row],[City Area]],2),LEFT(Tableau1[[#This Row],[Datacenter name (supplier code)]],4),LEFT(Tableau1[[#This Row],[Country]],2),RIGHT(Tableau1[[#This Row],[Datacenter name (supplier code)]],2)))</f>
        <v>EQCHCH3UNH3</v>
      </c>
      <c r="B136" t="s">
        <v>18</v>
      </c>
      <c r="C136" t="s">
        <v>531</v>
      </c>
      <c r="D136" t="s">
        <v>21</v>
      </c>
      <c r="E136" t="s">
        <v>758</v>
      </c>
      <c r="F136" t="s">
        <v>759</v>
      </c>
      <c r="G136" t="s">
        <v>78</v>
      </c>
      <c r="H136" t="s">
        <v>767</v>
      </c>
      <c r="I136" t="s">
        <v>768</v>
      </c>
      <c r="J136" t="s">
        <v>769</v>
      </c>
      <c r="K136" t="s">
        <v>379</v>
      </c>
      <c r="L136" t="str">
        <f>IF(OR(Tableau1[[#This Row],[Type of DC]]="1 - Major",Tableau1[[#This Row],[Type of DC]]="2 - Opportunistic",Tableau1[[#This Row],[Type of DC]]="6 - Catalog"),"OUI","NON")</f>
        <v>NON</v>
      </c>
      <c r="M136" t="s">
        <v>538</v>
      </c>
      <c r="N136" t="s">
        <v>770</v>
      </c>
      <c r="O136" t="s">
        <v>771</v>
      </c>
    </row>
    <row r="137" spans="1:16" hidden="1" x14ac:dyDescent="0.35">
      <c r="A137" t="str">
        <f>UPPER(_xlfn.CONCAT(LEFT(Tableau1[[#This Row],[Supplier]],2),LEFT(Tableau1[[#This Row],[City Area]],2),LEFT(Tableau1[[#This Row],[Datacenter name (supplier code)]],4),LEFT(Tableau1[[#This Row],[Country]],2),RIGHT(Tableau1[[#This Row],[Datacenter name (supplier code)]],2)))</f>
        <v>EQSAPA2FRA2</v>
      </c>
      <c r="B137" t="s">
        <v>30</v>
      </c>
      <c r="C137" t="s">
        <v>30</v>
      </c>
      <c r="D137" t="s">
        <v>31</v>
      </c>
      <c r="E137" t="s">
        <v>274</v>
      </c>
      <c r="F137" t="s">
        <v>330</v>
      </c>
      <c r="G137" t="s">
        <v>78</v>
      </c>
      <c r="H137" s="9" t="s">
        <v>87</v>
      </c>
      <c r="I137" t="s">
        <v>331</v>
      </c>
      <c r="J137" t="s">
        <v>332</v>
      </c>
      <c r="K137" t="s">
        <v>15</v>
      </c>
      <c r="L137" t="str">
        <f>IF(OR(Tableau1[[#This Row],[Type of DC]]="1 - Major",Tableau1[[#This Row],[Type of DC]]="2 - Opportunistic",Tableau1[[#This Row],[Type of DC]]="6 - Catalog"),"OUI","NON")</f>
        <v>OUI</v>
      </c>
      <c r="M137" t="s">
        <v>279</v>
      </c>
      <c r="N137" t="s">
        <v>333</v>
      </c>
      <c r="O137" t="s">
        <v>334</v>
      </c>
      <c r="P137" s="25" t="s">
        <v>1934</v>
      </c>
    </row>
    <row r="138" spans="1:16" hidden="1" x14ac:dyDescent="0.35">
      <c r="A138" t="str">
        <f>UPPER(_xlfn.CONCAT(LEFT(Tableau1[[#This Row],[Supplier]],2),LEFT(Tableau1[[#This Row],[City Area]],2),LEFT(Tableau1[[#This Row],[Datacenter name (supplier code)]],4),LEFT(Tableau1[[#This Row],[Country]],2),RIGHT(Tableau1[[#This Row],[Datacenter name (supplier code)]],2)))</f>
        <v>EQSAPA3FRA3</v>
      </c>
      <c r="B138" t="s">
        <v>30</v>
      </c>
      <c r="C138" t="s">
        <v>30</v>
      </c>
      <c r="D138" t="s">
        <v>31</v>
      </c>
      <c r="E138" t="s">
        <v>274</v>
      </c>
      <c r="F138" t="s">
        <v>330</v>
      </c>
      <c r="G138" t="s">
        <v>78</v>
      </c>
      <c r="H138" s="7" t="s">
        <v>335</v>
      </c>
      <c r="I138" t="s">
        <v>331</v>
      </c>
      <c r="J138" t="s">
        <v>336</v>
      </c>
      <c r="K138" t="s">
        <v>15</v>
      </c>
      <c r="L138" t="str">
        <f>IF(OR(Tableau1[[#This Row],[Type of DC]]="1 - Major",Tableau1[[#This Row],[Type of DC]]="2 - Opportunistic",Tableau1[[#This Row],[Type of DC]]="6 - Catalog"),"OUI","NON")</f>
        <v>OUI</v>
      </c>
      <c r="M138" t="s">
        <v>279</v>
      </c>
      <c r="N138" t="s">
        <v>333</v>
      </c>
      <c r="O138" t="s">
        <v>334</v>
      </c>
      <c r="P138" s="25" t="s">
        <v>1934</v>
      </c>
    </row>
    <row r="139" spans="1:16" hidden="1" x14ac:dyDescent="0.35">
      <c r="A139" t="str">
        <f>UPPER(_xlfn.CONCAT(LEFT(Tableau1[[#This Row],[Supplier]],2),LEFT(Tableau1[[#This Row],[City Area]],2),LEFT(Tableau1[[#This Row],[Datacenter name (supplier code)]],4),LEFT(Tableau1[[#This Row],[Country]],2),RIGHT(Tableau1[[#This Row],[Datacenter name (supplier code)]],2)))</f>
        <v>EQPAPA4FRA4</v>
      </c>
      <c r="B139" t="s">
        <v>30</v>
      </c>
      <c r="C139" t="s">
        <v>30</v>
      </c>
      <c r="D139" t="s">
        <v>31</v>
      </c>
      <c r="E139" t="s">
        <v>274</v>
      </c>
      <c r="F139" t="s">
        <v>337</v>
      </c>
      <c r="G139" t="s">
        <v>78</v>
      </c>
      <c r="H139" s="7" t="s">
        <v>338</v>
      </c>
      <c r="I139" t="s">
        <v>339</v>
      </c>
      <c r="J139" t="s">
        <v>340</v>
      </c>
      <c r="K139" t="s">
        <v>15</v>
      </c>
      <c r="L139" t="str">
        <f>IF(OR(Tableau1[[#This Row],[Type of DC]]="1 - Major",Tableau1[[#This Row],[Type of DC]]="2 - Opportunistic",Tableau1[[#This Row],[Type of DC]]="6 - Catalog"),"OUI","NON")</f>
        <v>OUI</v>
      </c>
      <c r="M139" t="s">
        <v>279</v>
      </c>
      <c r="N139" t="s">
        <v>341</v>
      </c>
      <c r="O139" t="s">
        <v>342</v>
      </c>
      <c r="P139" s="25" t="s">
        <v>1934</v>
      </c>
    </row>
    <row r="140" spans="1:16" hidden="1" x14ac:dyDescent="0.35">
      <c r="A140" t="str">
        <f>UPPER(_xlfn.CONCAT(LEFT(Tableau1[[#This Row],[Supplier]],2),LEFT(Tableau1[[#This Row],[City Area]],2),LEFT(Tableau1[[#This Row],[Datacenter name (supplier code)]],4),LEFT(Tableau1[[#This Row],[Country]],2),RIGHT(Tableau1[[#This Row],[Datacenter name (supplier code)]],2)))</f>
        <v>EQCOPA5FRA5</v>
      </c>
      <c r="B140" t="s">
        <v>30</v>
      </c>
      <c r="C140" t="s">
        <v>30</v>
      </c>
      <c r="D140" t="s">
        <v>31</v>
      </c>
      <c r="E140" t="s">
        <v>274</v>
      </c>
      <c r="F140" t="s">
        <v>324</v>
      </c>
      <c r="G140" t="s">
        <v>78</v>
      </c>
      <c r="H140" s="8" t="s">
        <v>343</v>
      </c>
      <c r="I140" t="s">
        <v>344</v>
      </c>
      <c r="J140" t="s">
        <v>345</v>
      </c>
      <c r="K140" t="s">
        <v>16</v>
      </c>
      <c r="L140" t="str">
        <f>IF(OR(Tableau1[[#This Row],[Type of DC]]="1 - Major",Tableau1[[#This Row],[Type of DC]]="2 - Opportunistic",Tableau1[[#This Row],[Type of DC]]="6 - Catalog"),"OUI","NON")</f>
        <v>OUI</v>
      </c>
      <c r="M140" t="s">
        <v>279</v>
      </c>
      <c r="N140" t="s">
        <v>346</v>
      </c>
      <c r="O140" t="s">
        <v>347</v>
      </c>
      <c r="P140" s="25" t="s">
        <v>1934</v>
      </c>
    </row>
    <row r="141" spans="1:16" hidden="1" x14ac:dyDescent="0.35">
      <c r="A141" t="str">
        <f>UPPER(_xlfn.CONCAT(LEFT(Tableau1[[#This Row],[Supplier]],2),LEFT(Tableau1[[#This Row],[City Area]],2),LEFT(Tableau1[[#This Row],[Datacenter name (supplier code)]],4),LEFT(Tableau1[[#This Row],[Country]],2),RIGHT(Tableau1[[#This Row],[Datacenter name (supplier code)]],2)))</f>
        <v>EQCOPA6FRA6</v>
      </c>
      <c r="B141" t="s">
        <v>30</v>
      </c>
      <c r="C141" t="s">
        <v>30</v>
      </c>
      <c r="D141" t="s">
        <v>31</v>
      </c>
      <c r="E141" t="s">
        <v>274</v>
      </c>
      <c r="F141" t="s">
        <v>324</v>
      </c>
      <c r="G141" t="s">
        <v>78</v>
      </c>
      <c r="H141" s="8" t="s">
        <v>348</v>
      </c>
      <c r="I141" t="s">
        <v>349</v>
      </c>
      <c r="J141" t="s">
        <v>350</v>
      </c>
      <c r="K141" t="s">
        <v>15</v>
      </c>
      <c r="L141" t="str">
        <f>IF(OR(Tableau1[[#This Row],[Type of DC]]="1 - Major",Tableau1[[#This Row],[Type of DC]]="2 - Opportunistic",Tableau1[[#This Row],[Type of DC]]="6 - Catalog"),"OUI","NON")</f>
        <v>OUI</v>
      </c>
      <c r="M141" t="s">
        <v>279</v>
      </c>
      <c r="N141" t="s">
        <v>351</v>
      </c>
      <c r="O141" t="s">
        <v>352</v>
      </c>
      <c r="P141" s="25" t="s">
        <v>1934</v>
      </c>
    </row>
    <row r="142" spans="1:16" hidden="1" x14ac:dyDescent="0.35">
      <c r="A142" t="str">
        <f>UPPER(_xlfn.CONCAT(LEFT(Tableau1[[#This Row],[Supplier]],2),LEFT(Tableau1[[#This Row],[City Area]],2),LEFT(Tableau1[[#This Row],[Datacenter name (supplier code)]],4),LEFT(Tableau1[[#This Row],[Country]],2),RIGHT(Tableau1[[#This Row],[Datacenter name (supplier code)]],2)))</f>
        <v>EQCOPA7FRA7</v>
      </c>
      <c r="B142" t="s">
        <v>30</v>
      </c>
      <c r="C142" t="s">
        <v>30</v>
      </c>
      <c r="D142" t="s">
        <v>31</v>
      </c>
      <c r="E142" t="s">
        <v>274</v>
      </c>
      <c r="F142" t="s">
        <v>324</v>
      </c>
      <c r="G142" t="s">
        <v>78</v>
      </c>
      <c r="H142" s="9" t="s">
        <v>87</v>
      </c>
      <c r="I142" t="s">
        <v>353</v>
      </c>
      <c r="J142" t="s">
        <v>354</v>
      </c>
      <c r="K142" t="s">
        <v>16</v>
      </c>
      <c r="L142" t="str">
        <f>IF(OR(Tableau1[[#This Row],[Type of DC]]="1 - Major",Tableau1[[#This Row],[Type of DC]]="2 - Opportunistic",Tableau1[[#This Row],[Type of DC]]="6 - Catalog"),"OUI","NON")</f>
        <v>OUI</v>
      </c>
      <c r="M142" t="s">
        <v>279</v>
      </c>
      <c r="N142" t="s">
        <v>355</v>
      </c>
      <c r="O142" t="s">
        <v>356</v>
      </c>
      <c r="P142" s="25" t="s">
        <v>1934</v>
      </c>
    </row>
    <row r="143" spans="1:16" hidden="1" x14ac:dyDescent="0.35">
      <c r="A143" t="str">
        <f>UPPER(_xlfn.CONCAT(LEFT(Tableau1[[#This Row],[Supplier]],2),LEFT(Tableau1[[#This Row],[City Area]],2),LEFT(Tableau1[[#This Row],[Datacenter name (supplier code)]],4),LEFT(Tableau1[[#This Row],[Country]],2),RIGHT(Tableau1[[#This Row],[Datacenter name (supplier code)]],2)))</f>
        <v>CONENY1UNY1</v>
      </c>
      <c r="B143" t="s">
        <v>18</v>
      </c>
      <c r="C143" t="s">
        <v>531</v>
      </c>
      <c r="D143" t="s">
        <v>21</v>
      </c>
      <c r="E143" t="s">
        <v>797</v>
      </c>
      <c r="F143" t="s">
        <v>797</v>
      </c>
      <c r="G143" t="s">
        <v>798</v>
      </c>
      <c r="H143" s="9" t="s">
        <v>87</v>
      </c>
      <c r="I143" t="s">
        <v>799</v>
      </c>
      <c r="J143" t="s">
        <v>800</v>
      </c>
      <c r="K143" t="s">
        <v>73</v>
      </c>
      <c r="L143" t="str">
        <f>IF(OR(Tableau1[[#This Row],[Type of DC]]="1 - Major",Tableau1[[#This Row],[Type of DC]]="2 - Opportunistic",Tableau1[[#This Row],[Type of DC]]="6 - Catalog"),"OUI","NON")</f>
        <v>NON</v>
      </c>
      <c r="M143" t="s">
        <v>538</v>
      </c>
      <c r="N143" t="s">
        <v>801</v>
      </c>
      <c r="O143" t="s">
        <v>802</v>
      </c>
    </row>
    <row r="144" spans="1:16" hidden="1" x14ac:dyDescent="0.35">
      <c r="A144" t="str">
        <f>UPPER(_xlfn.CONCAT(LEFT(Tableau1[[#This Row],[Supplier]],2),LEFT(Tableau1[[#This Row],[City Area]],2),LEFT(Tableau1[[#This Row],[Datacenter name (supplier code)]],4),LEFT(Tableau1[[#This Row],[Country]],2),RIGHT(Tableau1[[#This Row],[Datacenter name (supplier code)]],2)))</f>
        <v>EQFRFR2GER2</v>
      </c>
      <c r="B144" t="s">
        <v>30</v>
      </c>
      <c r="C144" t="s">
        <v>30</v>
      </c>
      <c r="D144" t="s">
        <v>32</v>
      </c>
      <c r="E144" t="s">
        <v>411</v>
      </c>
      <c r="F144" t="s">
        <v>411</v>
      </c>
      <c r="G144" t="s">
        <v>78</v>
      </c>
      <c r="H144" t="s">
        <v>415</v>
      </c>
      <c r="I144" t="s">
        <v>416</v>
      </c>
      <c r="J144" t="s">
        <v>417</v>
      </c>
      <c r="K144" t="s">
        <v>16</v>
      </c>
      <c r="L144" t="str">
        <f>IF(OR(Tableau1[[#This Row],[Type of DC]]="1 - Major",Tableau1[[#This Row],[Type of DC]]="2 - Opportunistic",Tableau1[[#This Row],[Type of DC]]="6 - Catalog"),"OUI","NON")</f>
        <v>OUI</v>
      </c>
      <c r="M144" t="s">
        <v>414</v>
      </c>
      <c r="N144" s="20">
        <v>50.1422810106273</v>
      </c>
      <c r="O144" s="20">
        <v>8.7407615252206892</v>
      </c>
      <c r="P144" s="25" t="s">
        <v>1943</v>
      </c>
    </row>
    <row r="145" spans="1:16" hidden="1" x14ac:dyDescent="0.35">
      <c r="A145" t="str">
        <f>UPPER(_xlfn.CONCAT(LEFT(Tableau1[[#This Row],[Supplier]],2),LEFT(Tableau1[[#This Row],[City Area]],2),LEFT(Tableau1[[#This Row],[Datacenter name (supplier code)]],4),LEFT(Tableau1[[#This Row],[Country]],2),RIGHT(Tableau1[[#This Row],[Datacenter name (supplier code)]],2)))</f>
        <v>NTSTSTERUNNG</v>
      </c>
      <c r="B145" t="s">
        <v>18</v>
      </c>
      <c r="C145" t="s">
        <v>531</v>
      </c>
      <c r="D145" t="s">
        <v>21</v>
      </c>
      <c r="E145" t="s">
        <v>807</v>
      </c>
      <c r="F145" t="s">
        <v>807</v>
      </c>
      <c r="G145" t="s">
        <v>207</v>
      </c>
      <c r="H145" t="s">
        <v>808</v>
      </c>
      <c r="I145" t="s">
        <v>809</v>
      </c>
      <c r="J145" t="s">
        <v>807</v>
      </c>
      <c r="K145" t="s">
        <v>73</v>
      </c>
      <c r="L145" t="str">
        <f>IF(OR(Tableau1[[#This Row],[Type of DC]]="1 - Major",Tableau1[[#This Row],[Type of DC]]="2 - Opportunistic",Tableau1[[#This Row],[Type of DC]]="6 - Catalog"),"OUI","NON")</f>
        <v>NON</v>
      </c>
      <c r="M145" t="s">
        <v>538</v>
      </c>
      <c r="N145" t="s">
        <v>810</v>
      </c>
      <c r="O145" t="s">
        <v>811</v>
      </c>
    </row>
    <row r="146" spans="1:16" hidden="1" x14ac:dyDescent="0.35">
      <c r="A146" t="str">
        <f>UPPER(_xlfn.CONCAT(LEFT(Tableau1[[#This Row],[Supplier]],2),LEFT(Tableau1[[#This Row],[City Area]],2),LEFT(Tableau1[[#This Row],[Datacenter name (supplier code)]],4),LEFT(Tableau1[[#This Row],[Country]],2),RIGHT(Tableau1[[#This Row],[Datacenter name (supplier code)]],2)))</f>
        <v>EQFRFR4GER4</v>
      </c>
      <c r="B146" t="s">
        <v>30</v>
      </c>
      <c r="C146" t="s">
        <v>30</v>
      </c>
      <c r="D146" t="s">
        <v>32</v>
      </c>
      <c r="E146" t="s">
        <v>411</v>
      </c>
      <c r="F146" t="s">
        <v>411</v>
      </c>
      <c r="G146" t="s">
        <v>78</v>
      </c>
      <c r="H146" t="s">
        <v>419</v>
      </c>
      <c r="I146" t="s">
        <v>420</v>
      </c>
      <c r="J146" t="s">
        <v>421</v>
      </c>
      <c r="K146" t="s">
        <v>15</v>
      </c>
      <c r="L146" t="str">
        <f>IF(OR(Tableau1[[#This Row],[Type of DC]]="1 - Major",Tableau1[[#This Row],[Type of DC]]="2 - Opportunistic",Tableau1[[#This Row],[Type of DC]]="6 - Catalog"),"OUI","NON")</f>
        <v>OUI</v>
      </c>
      <c r="M146" t="s">
        <v>414</v>
      </c>
      <c r="N146" s="20">
        <v>50.097887453838801</v>
      </c>
      <c r="O146" s="20">
        <v>8.5879949963812194</v>
      </c>
      <c r="P146" s="25" t="s">
        <v>1943</v>
      </c>
    </row>
    <row r="147" spans="1:16" hidden="1" x14ac:dyDescent="0.35">
      <c r="A147" t="str">
        <f>UPPER(_xlfn.CONCAT(LEFT(Tableau1[[#This Row],[Supplier]],2),LEFT(Tableau1[[#This Row],[City Area]],2),LEFT(Tableau1[[#This Row],[Datacenter name (supplier code)]],4),LEFT(Tableau1[[#This Row],[Country]],2),RIGHT(Tableau1[[#This Row],[Datacenter name (supplier code)]],2)))</f>
        <v>EQFRFR5GER5</v>
      </c>
      <c r="B147" t="s">
        <v>30</v>
      </c>
      <c r="C147" t="s">
        <v>30</v>
      </c>
      <c r="D147" t="s">
        <v>32</v>
      </c>
      <c r="E147" t="s">
        <v>411</v>
      </c>
      <c r="F147" t="s">
        <v>411</v>
      </c>
      <c r="G147" t="s">
        <v>78</v>
      </c>
      <c r="H147" t="s">
        <v>422</v>
      </c>
      <c r="I147" t="s">
        <v>423</v>
      </c>
      <c r="J147" t="s">
        <v>424</v>
      </c>
      <c r="K147" t="s">
        <v>16</v>
      </c>
      <c r="L147" t="str">
        <f>IF(OR(Tableau1[[#This Row],[Type of DC]]="1 - Major",Tableau1[[#This Row],[Type of DC]]="2 - Opportunistic",Tableau1[[#This Row],[Type of DC]]="6 - Catalog"),"OUI","NON")</f>
        <v>OUI</v>
      </c>
      <c r="M147" t="s">
        <v>414</v>
      </c>
      <c r="N147" s="20">
        <v>50.0988792594489</v>
      </c>
      <c r="O147" s="20">
        <v>8.6320118372871502</v>
      </c>
      <c r="P147" s="25" t="s">
        <v>1943</v>
      </c>
    </row>
    <row r="148" spans="1:16" hidden="1" x14ac:dyDescent="0.35">
      <c r="A148" t="str">
        <f>UPPER(_xlfn.CONCAT(LEFT(Tableau1[[#This Row],[Supplier]],2),LEFT(Tableau1[[#This Row],[City Area]],2),LEFT(Tableau1[[#This Row],[Datacenter name (supplier code)]],4),LEFT(Tableau1[[#This Row],[Country]],2),RIGHT(Tableau1[[#This Row],[Datacenter name (supplier code)]],2)))</f>
        <v>EQFRFR6GER6</v>
      </c>
      <c r="B148" t="s">
        <v>30</v>
      </c>
      <c r="C148" t="s">
        <v>30</v>
      </c>
      <c r="D148" t="s">
        <v>32</v>
      </c>
      <c r="E148" t="s">
        <v>411</v>
      </c>
      <c r="F148" t="s">
        <v>411</v>
      </c>
      <c r="G148" t="s">
        <v>78</v>
      </c>
      <c r="H148" s="9" t="s">
        <v>87</v>
      </c>
      <c r="I148" t="s">
        <v>420</v>
      </c>
      <c r="J148" t="s">
        <v>425</v>
      </c>
      <c r="K148" t="s">
        <v>16</v>
      </c>
      <c r="L148" t="str">
        <f>IF(OR(Tableau1[[#This Row],[Type of DC]]="1 - Major",Tableau1[[#This Row],[Type of DC]]="2 - Opportunistic",Tableau1[[#This Row],[Type of DC]]="6 - Catalog"),"OUI","NON")</f>
        <v>OUI</v>
      </c>
      <c r="M148" t="s">
        <v>414</v>
      </c>
      <c r="N148" s="20">
        <v>50.097125719374397</v>
      </c>
      <c r="O148" s="20">
        <v>8.5880429722030804</v>
      </c>
      <c r="P148" s="25" t="s">
        <v>1943</v>
      </c>
    </row>
    <row r="149" spans="1:16" hidden="1" x14ac:dyDescent="0.35">
      <c r="A149" t="str">
        <f>UPPER(_xlfn.CONCAT(LEFT(Tableau1[[#This Row],[Supplier]],2),LEFT(Tableau1[[#This Row],[City Area]],2),LEFT(Tableau1[[#This Row],[Datacenter name (supplier code)]],4),LEFT(Tableau1[[#This Row],[Country]],2),RIGHT(Tableau1[[#This Row],[Datacenter name (supplier code)]],2)))</f>
        <v>EQFRFR7GER7</v>
      </c>
      <c r="B149" t="s">
        <v>30</v>
      </c>
      <c r="C149" t="s">
        <v>30</v>
      </c>
      <c r="D149" t="s">
        <v>32</v>
      </c>
      <c r="E149" t="s">
        <v>411</v>
      </c>
      <c r="F149" t="s">
        <v>411</v>
      </c>
      <c r="G149" t="s">
        <v>78</v>
      </c>
      <c r="H149" s="9" t="s">
        <v>87</v>
      </c>
      <c r="I149" t="s">
        <v>426</v>
      </c>
      <c r="J149" t="s">
        <v>427</v>
      </c>
      <c r="K149" t="s">
        <v>16</v>
      </c>
      <c r="L149" t="str">
        <f>IF(OR(Tableau1[[#This Row],[Type of DC]]="1 - Major",Tableau1[[#This Row],[Type of DC]]="2 - Opportunistic",Tableau1[[#This Row],[Type of DC]]="6 - Catalog"),"OUI","NON")</f>
        <v>OUI</v>
      </c>
      <c r="M149" t="s">
        <v>414</v>
      </c>
      <c r="N149" s="20">
        <v>50.096835914472699</v>
      </c>
      <c r="O149" s="20">
        <v>8.6440159827850902</v>
      </c>
      <c r="P149" s="25" t="s">
        <v>1943</v>
      </c>
    </row>
    <row r="150" spans="1:16" hidden="1" x14ac:dyDescent="0.35">
      <c r="A150" t="str">
        <f>UPPER(_xlfn.CONCAT(LEFT(Tableau1[[#This Row],[Supplier]],2),LEFT(Tableau1[[#This Row],[City Area]],2),LEFT(Tableau1[[#This Row],[Datacenter name (supplier code)]],4),LEFT(Tableau1[[#This Row],[Country]],2),RIGHT(Tableau1[[#This Row],[Datacenter name (supplier code)]],2)))</f>
        <v>EQMUMU3GEU3</v>
      </c>
      <c r="B150" t="s">
        <v>30</v>
      </c>
      <c r="C150" t="s">
        <v>30</v>
      </c>
      <c r="D150" t="s">
        <v>32</v>
      </c>
      <c r="E150" t="s">
        <v>429</v>
      </c>
      <c r="F150" t="s">
        <v>429</v>
      </c>
      <c r="G150" t="s">
        <v>78</v>
      </c>
      <c r="H150" t="s">
        <v>430</v>
      </c>
      <c r="I150" t="s">
        <v>431</v>
      </c>
      <c r="J150" t="s">
        <v>432</v>
      </c>
      <c r="K150" t="s">
        <v>16</v>
      </c>
      <c r="L150" t="str">
        <f>IF(OR(Tableau1[[#This Row],[Type of DC]]="1 - Major",Tableau1[[#This Row],[Type of DC]]="2 - Opportunistic",Tableau1[[#This Row],[Type of DC]]="6 - Catalog"),"OUI","NON")</f>
        <v>OUI</v>
      </c>
      <c r="M150" t="s">
        <v>414</v>
      </c>
      <c r="N150" s="20">
        <v>48.142524198084899</v>
      </c>
      <c r="O150" s="20">
        <v>11.5559480513792</v>
      </c>
      <c r="P150" s="25" t="s">
        <v>1943</v>
      </c>
    </row>
    <row r="151" spans="1:16" hidden="1" x14ac:dyDescent="0.35">
      <c r="A151" t="str">
        <f>UPPER(_xlfn.CONCAT(LEFT(Tableau1[[#This Row],[Supplier]],2),LEFT(Tableau1[[#This Row],[City Area]],2),LEFT(Tableau1[[#This Row],[Datacenter name (supplier code)]],4),LEFT(Tableau1[[#This Row],[Country]],2),RIGHT(Tableau1[[#This Row],[Datacenter name (supplier code)]],2)))</f>
        <v>EQMIML2ITL2</v>
      </c>
      <c r="B151" t="s">
        <v>30</v>
      </c>
      <c r="C151" t="s">
        <v>30</v>
      </c>
      <c r="D151" t="s">
        <v>33</v>
      </c>
      <c r="E151" t="s">
        <v>466</v>
      </c>
      <c r="F151" t="s">
        <v>466</v>
      </c>
      <c r="G151" t="s">
        <v>78</v>
      </c>
      <c r="H151" s="9" t="s">
        <v>87</v>
      </c>
      <c r="I151" t="s">
        <v>467</v>
      </c>
      <c r="J151" t="s">
        <v>468</v>
      </c>
      <c r="K151" t="s">
        <v>16</v>
      </c>
      <c r="L151" t="str">
        <f>IF(OR(Tableau1[[#This Row],[Type of DC]]="1 - Major",Tableau1[[#This Row],[Type of DC]]="2 - Opportunistic",Tableau1[[#This Row],[Type of DC]]="6 - Catalog"),"OUI","NON")</f>
        <v>OUI</v>
      </c>
      <c r="M151" t="s">
        <v>414</v>
      </c>
      <c r="N151" s="20">
        <v>45.448689642025798</v>
      </c>
      <c r="O151" s="20">
        <v>9.1472278532095199</v>
      </c>
      <c r="P151" t="s">
        <v>469</v>
      </c>
    </row>
    <row r="152" spans="1:16" hidden="1" x14ac:dyDescent="0.35">
      <c r="A152" t="str">
        <f>UPPER(_xlfn.CONCAT(LEFT(Tableau1[[#This Row],[Supplier]],2),LEFT(Tableau1[[#This Row],[City Area]],2),LEFT(Tableau1[[#This Row],[Datacenter name (supplier code)]],4),LEFT(Tableau1[[#This Row],[Country]],2),RIGHT(Tableau1[[#This Row],[Datacenter name (supplier code)]],2)))</f>
        <v>EQAMAM3NEM3</v>
      </c>
      <c r="B152" t="s">
        <v>30</v>
      </c>
      <c r="C152" t="s">
        <v>30</v>
      </c>
      <c r="D152" t="s">
        <v>36</v>
      </c>
      <c r="E152" t="s">
        <v>470</v>
      </c>
      <c r="F152" t="s">
        <v>470</v>
      </c>
      <c r="G152" t="s">
        <v>78</v>
      </c>
      <c r="H152" s="7" t="s">
        <v>552</v>
      </c>
      <c r="I152" t="s">
        <v>553</v>
      </c>
      <c r="J152" t="s">
        <v>554</v>
      </c>
      <c r="K152" t="s">
        <v>16</v>
      </c>
      <c r="L152" t="str">
        <f>IF(OR(Tableau1[[#This Row],[Type of DC]]="1 - Major",Tableau1[[#This Row],[Type of DC]]="2 - Opportunistic",Tableau1[[#This Row],[Type of DC]]="6 - Catalog"),"OUI","NON")</f>
        <v>OUI</v>
      </c>
      <c r="M152" t="s">
        <v>132</v>
      </c>
      <c r="N152" t="s">
        <v>555</v>
      </c>
      <c r="O152" t="s">
        <v>556</v>
      </c>
      <c r="P152" s="25" t="s">
        <v>1944</v>
      </c>
    </row>
    <row r="153" spans="1:16" hidden="1" x14ac:dyDescent="0.35">
      <c r="A153" t="str">
        <f>UPPER(_xlfn.CONCAT(LEFT(Tableau1[[#This Row],[Supplier]],2),LEFT(Tableau1[[#This Row],[City Area]],2),LEFT(Tableau1[[#This Row],[Datacenter name (supplier code)]],4),LEFT(Tableau1[[#This Row],[Country]],2),RIGHT(Tableau1[[#This Row],[Datacenter name (supplier code)]],2)))</f>
        <v>EQAMAM4NEM4</v>
      </c>
      <c r="B153" t="s">
        <v>30</v>
      </c>
      <c r="C153" t="s">
        <v>30</v>
      </c>
      <c r="D153" t="s">
        <v>36</v>
      </c>
      <c r="E153" t="s">
        <v>470</v>
      </c>
      <c r="F153" t="s">
        <v>470</v>
      </c>
      <c r="G153" t="s">
        <v>78</v>
      </c>
      <c r="H153" s="9" t="s">
        <v>87</v>
      </c>
      <c r="I153" t="s">
        <v>553</v>
      </c>
      <c r="J153" t="s">
        <v>557</v>
      </c>
      <c r="K153" t="s">
        <v>16</v>
      </c>
      <c r="L153" t="str">
        <f>IF(OR(Tableau1[[#This Row],[Type of DC]]="1 - Major",Tableau1[[#This Row],[Type of DC]]="2 - Opportunistic",Tableau1[[#This Row],[Type of DC]]="6 - Catalog"),"OUI","NON")</f>
        <v>OUI</v>
      </c>
      <c r="M153" t="s">
        <v>132</v>
      </c>
      <c r="N153" t="s">
        <v>555</v>
      </c>
      <c r="O153" t="s">
        <v>556</v>
      </c>
      <c r="P153" s="25" t="s">
        <v>1944</v>
      </c>
    </row>
    <row r="154" spans="1:16" hidden="1" x14ac:dyDescent="0.35">
      <c r="A154" t="str">
        <f>UPPER(_xlfn.CONCAT(LEFT(Tableau1[[#This Row],[Supplier]],2),LEFT(Tableau1[[#This Row],[City Area]],2),LEFT(Tableau1[[#This Row],[Datacenter name (supplier code)]],4),LEFT(Tableau1[[#This Row],[Country]],2),RIGHT(Tableau1[[#This Row],[Datacenter name (supplier code)]],2)))</f>
        <v>EQAMAM5NEM5</v>
      </c>
      <c r="B154" t="s">
        <v>30</v>
      </c>
      <c r="C154" t="s">
        <v>30</v>
      </c>
      <c r="D154" t="s">
        <v>36</v>
      </c>
      <c r="E154" t="s">
        <v>470</v>
      </c>
      <c r="F154" t="s">
        <v>470</v>
      </c>
      <c r="G154" t="s">
        <v>78</v>
      </c>
      <c r="H154" s="7" t="s">
        <v>547</v>
      </c>
      <c r="I154" t="s">
        <v>548</v>
      </c>
      <c r="J154" t="s">
        <v>549</v>
      </c>
      <c r="K154" t="s">
        <v>16</v>
      </c>
      <c r="L154" t="str">
        <f>IF(OR(Tableau1[[#This Row],[Type of DC]]="1 - Major",Tableau1[[#This Row],[Type of DC]]="2 - Opportunistic",Tableau1[[#This Row],[Type of DC]]="6 - Catalog"),"OUI","NON")</f>
        <v>OUI</v>
      </c>
      <c r="M154" t="s">
        <v>132</v>
      </c>
      <c r="N154" t="s">
        <v>550</v>
      </c>
      <c r="O154" t="s">
        <v>551</v>
      </c>
      <c r="P154" s="25" t="s">
        <v>1944</v>
      </c>
    </row>
    <row r="155" spans="1:16" hidden="1" x14ac:dyDescent="0.35">
      <c r="A155" t="str">
        <f>UPPER(_xlfn.CONCAT(LEFT(Tableau1[[#This Row],[Supplier]],2),LEFT(Tableau1[[#This Row],[City Area]],2),LEFT(Tableau1[[#This Row],[Datacenter name (supplier code)]],4),LEFT(Tableau1[[#This Row],[Country]],2),RIGHT(Tableau1[[#This Row],[Datacenter name (supplier code)]],2)))</f>
        <v>EQAMAM6NEM6</v>
      </c>
      <c r="B155" t="s">
        <v>30</v>
      </c>
      <c r="C155" t="s">
        <v>30</v>
      </c>
      <c r="D155" t="s">
        <v>36</v>
      </c>
      <c r="E155" t="s">
        <v>470</v>
      </c>
      <c r="F155" t="s">
        <v>470</v>
      </c>
      <c r="G155" t="s">
        <v>78</v>
      </c>
      <c r="H155" s="9" t="s">
        <v>87</v>
      </c>
      <c r="I155" t="s">
        <v>558</v>
      </c>
      <c r="J155" s="3" t="s">
        <v>559</v>
      </c>
      <c r="K155" t="s">
        <v>15</v>
      </c>
      <c r="L155" t="str">
        <f>IF(OR(Tableau1[[#This Row],[Type of DC]]="1 - Major",Tableau1[[#This Row],[Type of DC]]="2 - Opportunistic",Tableau1[[#This Row],[Type of DC]]="6 - Catalog"),"OUI","NON")</f>
        <v>OUI</v>
      </c>
      <c r="M155" t="s">
        <v>132</v>
      </c>
      <c r="N155" t="s">
        <v>560</v>
      </c>
      <c r="O155" t="s">
        <v>561</v>
      </c>
      <c r="P155" s="25" t="s">
        <v>1944</v>
      </c>
    </row>
    <row r="156" spans="1:16" hidden="1" x14ac:dyDescent="0.35">
      <c r="A156" t="str">
        <f>UPPER(_xlfn.CONCAT(LEFT(Tableau1[[#This Row],[Supplier]],2),LEFT(Tableau1[[#This Row],[City Area]],2),LEFT(Tableau1[[#This Row],[Datacenter name (supplier code)]],4),LEFT(Tableau1[[#This Row],[Country]],2),RIGHT(Tableau1[[#This Row],[Datacenter name (supplier code)]],2)))</f>
        <v>EQAMAMSXNE01</v>
      </c>
      <c r="B156" t="s">
        <v>30</v>
      </c>
      <c r="C156" t="s">
        <v>30</v>
      </c>
      <c r="D156" t="s">
        <v>36</v>
      </c>
      <c r="E156" t="s">
        <v>470</v>
      </c>
      <c r="F156" t="s">
        <v>470</v>
      </c>
      <c r="G156" t="s">
        <v>69</v>
      </c>
      <c r="H156" t="s">
        <v>471</v>
      </c>
      <c r="I156" t="s">
        <v>472</v>
      </c>
      <c r="J156" t="s">
        <v>471</v>
      </c>
      <c r="K156" t="s">
        <v>15</v>
      </c>
      <c r="L156" t="str">
        <f>IF(OR(Tableau1[[#This Row],[Type of DC]]="1 - Major",Tableau1[[#This Row],[Type of DC]]="2 - Opportunistic",Tableau1[[#This Row],[Type of DC]]="6 - Catalog"),"OUI","NON")</f>
        <v>OUI</v>
      </c>
      <c r="M156" t="s">
        <v>132</v>
      </c>
      <c r="N156" t="s">
        <v>473</v>
      </c>
      <c r="O156" t="s">
        <v>474</v>
      </c>
      <c r="P156" s="25" t="s">
        <v>1945</v>
      </c>
    </row>
    <row r="157" spans="1:16" hidden="1" x14ac:dyDescent="0.35">
      <c r="A157" t="str">
        <f>UPPER(_xlfn.CONCAT(LEFT(Tableau1[[#This Row],[Supplier]],2),LEFT(Tableau1[[#This Row],[City Area]],2),LEFT(Tableau1[[#This Row],[Datacenter name (supplier code)]],4),LEFT(Tableau1[[#This Row],[Country]],2),RIGHT(Tableau1[[#This Row],[Datacenter name (supplier code)]],2)))</f>
        <v>IXMOIXCERUDC</v>
      </c>
      <c r="B157" t="s">
        <v>30</v>
      </c>
      <c r="C157" t="s">
        <v>30</v>
      </c>
      <c r="D157" t="s">
        <v>39</v>
      </c>
      <c r="E157" t="s">
        <v>821</v>
      </c>
      <c r="F157" t="s">
        <v>821</v>
      </c>
      <c r="G157" t="s">
        <v>822</v>
      </c>
      <c r="H157" s="2" t="s">
        <v>602</v>
      </c>
      <c r="I157" t="s">
        <v>823</v>
      </c>
      <c r="J157" t="s">
        <v>824</v>
      </c>
      <c r="K157" t="s">
        <v>16</v>
      </c>
      <c r="L157" t="str">
        <f>IF(OR(Tableau1[[#This Row],[Type of DC]]="1 - Major",Tableau1[[#This Row],[Type of DC]]="2 - Opportunistic",Tableau1[[#This Row],[Type of DC]]="6 - Catalog"),"OUI","NON")</f>
        <v>OUI</v>
      </c>
      <c r="M157" t="s">
        <v>132</v>
      </c>
      <c r="N157" t="s">
        <v>825</v>
      </c>
      <c r="O157" t="s">
        <v>826</v>
      </c>
      <c r="P157" s="25" t="s">
        <v>1948</v>
      </c>
    </row>
    <row r="158" spans="1:16" hidden="1" x14ac:dyDescent="0.35">
      <c r="A158" t="str">
        <f>UPPER(_xlfn.CONCAT(LEFT(Tableau1[[#This Row],[Supplier]],2),LEFT(Tableau1[[#This Row],[City Area]],2),LEFT(Tableau1[[#This Row],[Datacenter name (supplier code)]],4),LEFT(Tableau1[[#This Row],[Country]],2),RIGHT(Tableau1[[#This Row],[Datacenter name (supplier code)]],2)))</f>
        <v>EQSENY4UNY4</v>
      </c>
      <c r="B158" t="s">
        <v>18</v>
      </c>
      <c r="C158" t="s">
        <v>531</v>
      </c>
      <c r="D158" t="s">
        <v>21</v>
      </c>
      <c r="E158" t="s">
        <v>857</v>
      </c>
      <c r="F158" t="s">
        <v>863</v>
      </c>
      <c r="G158" t="s">
        <v>78</v>
      </c>
      <c r="H158" s="2" t="s">
        <v>602</v>
      </c>
      <c r="I158" t="s">
        <v>869</v>
      </c>
      <c r="J158" t="s">
        <v>870</v>
      </c>
      <c r="K158" t="s">
        <v>73</v>
      </c>
      <c r="L158" t="str">
        <f>IF(OR(Tableau1[[#This Row],[Type of DC]]="1 - Major",Tableau1[[#This Row],[Type of DC]]="2 - Opportunistic",Tableau1[[#This Row],[Type of DC]]="6 - Catalog"),"OUI","NON")</f>
        <v>NON</v>
      </c>
      <c r="M158" t="s">
        <v>538</v>
      </c>
      <c r="N158" t="s">
        <v>871</v>
      </c>
      <c r="O158" t="s">
        <v>872</v>
      </c>
    </row>
    <row r="159" spans="1:16" hidden="1" x14ac:dyDescent="0.35">
      <c r="A159" t="str">
        <f>UPPER(_xlfn.CONCAT(LEFT(Tableau1[[#This Row],[Supplier]],2),LEFT(Tableau1[[#This Row],[City Area]],2),LEFT(Tableau1[[#This Row],[Datacenter name (supplier code)]],4),LEFT(Tableau1[[#This Row],[Country]],2),RIGHT(Tableau1[[#This Row],[Datacenter name (supplier code)]],2)))</f>
        <v>EQDUDX1UAX1</v>
      </c>
      <c r="B159" t="s">
        <v>30</v>
      </c>
      <c r="C159" t="s">
        <v>30</v>
      </c>
      <c r="D159" t="s">
        <v>44</v>
      </c>
      <c r="E159" t="s">
        <v>726</v>
      </c>
      <c r="F159" t="s">
        <v>726</v>
      </c>
      <c r="G159" t="s">
        <v>78</v>
      </c>
      <c r="H159" s="2" t="s">
        <v>602</v>
      </c>
      <c r="I159" t="s">
        <v>727</v>
      </c>
      <c r="J159" t="s">
        <v>728</v>
      </c>
      <c r="K159" t="s">
        <v>16</v>
      </c>
      <c r="L159" t="str">
        <f>IF(OR(Tableau1[[#This Row],[Type of DC]]="1 - Major",Tableau1[[#This Row],[Type of DC]]="2 - Opportunistic",Tableau1[[#This Row],[Type of DC]]="6 - Catalog"),"OUI","NON")</f>
        <v>OUI</v>
      </c>
      <c r="M159" t="s">
        <v>132</v>
      </c>
      <c r="N159" t="s">
        <v>729</v>
      </c>
      <c r="O159" t="s">
        <v>730</v>
      </c>
      <c r="P159" t="s">
        <v>1953</v>
      </c>
    </row>
    <row r="160" spans="1:16" hidden="1" x14ac:dyDescent="0.35">
      <c r="A160" t="str">
        <f>UPPER(_xlfn.CONCAT(LEFT(Tableau1[[#This Row],[Supplier]],2),LEFT(Tableau1[[#This Row],[City Area]],2),LEFT(Tableau1[[#This Row],[Datacenter name (supplier code)]],4),LEFT(Tableau1[[#This Row],[Country]],2),RIGHT(Tableau1[[#This Row],[Datacenter name (supplier code)]],2)))</f>
        <v>EQSLLD5UND5</v>
      </c>
      <c r="B160" t="s">
        <v>30</v>
      </c>
      <c r="C160" t="s">
        <v>30</v>
      </c>
      <c r="D160" t="s">
        <v>45</v>
      </c>
      <c r="E160" t="s">
        <v>732</v>
      </c>
      <c r="F160" t="s">
        <v>833</v>
      </c>
      <c r="G160" t="s">
        <v>78</v>
      </c>
      <c r="H160" s="2" t="s">
        <v>602</v>
      </c>
      <c r="I160" t="s">
        <v>834</v>
      </c>
      <c r="J160" t="s">
        <v>835</v>
      </c>
      <c r="K160" t="s">
        <v>16</v>
      </c>
      <c r="L160" t="str">
        <f>IF(OR(Tableau1[[#This Row],[Type of DC]]="1 - Major",Tableau1[[#This Row],[Type of DC]]="2 - Opportunistic",Tableau1[[#This Row],[Type of DC]]="6 - Catalog"),"OUI","NON")</f>
        <v>OUI</v>
      </c>
      <c r="M160" t="s">
        <v>279</v>
      </c>
      <c r="N160" t="s">
        <v>836</v>
      </c>
      <c r="O160" t="s">
        <v>837</v>
      </c>
      <c r="P160" t="s">
        <v>1941</v>
      </c>
    </row>
    <row r="161" spans="1:16" hidden="1" x14ac:dyDescent="0.35">
      <c r="A161" t="str">
        <f>UPPER(_xlfn.CONCAT(LEFT(Tableau1[[#This Row],[Supplier]],2),LEFT(Tableau1[[#This Row],[City Area]],2),LEFT(Tableau1[[#This Row],[Datacenter name (supplier code)]],4),LEFT(Tableau1[[#This Row],[Country]],2),RIGHT(Tableau1[[#This Row],[Datacenter name (supplier code)]],2)))</f>
        <v>EQSLLD6UND6</v>
      </c>
      <c r="B161" t="s">
        <v>30</v>
      </c>
      <c r="C161" t="s">
        <v>30</v>
      </c>
      <c r="D161" t="s">
        <v>45</v>
      </c>
      <c r="E161" t="s">
        <v>732</v>
      </c>
      <c r="F161" t="s">
        <v>833</v>
      </c>
      <c r="G161" t="s">
        <v>78</v>
      </c>
      <c r="H161" s="2" t="s">
        <v>602</v>
      </c>
      <c r="I161" t="s">
        <v>839</v>
      </c>
      <c r="J161" t="s">
        <v>840</v>
      </c>
      <c r="K161" t="s">
        <v>16</v>
      </c>
      <c r="L161" t="str">
        <f>IF(OR(Tableau1[[#This Row],[Type of DC]]="1 - Major",Tableau1[[#This Row],[Type of DC]]="2 - Opportunistic",Tableau1[[#This Row],[Type of DC]]="6 - Catalog"),"OUI","NON")</f>
        <v>OUI</v>
      </c>
      <c r="M161" t="s">
        <v>279</v>
      </c>
      <c r="N161" t="s">
        <v>841</v>
      </c>
      <c r="O161" t="s">
        <v>842</v>
      </c>
      <c r="P161" t="s">
        <v>1941</v>
      </c>
    </row>
    <row r="162" spans="1:16" hidden="1" x14ac:dyDescent="0.35">
      <c r="A162" t="str">
        <f>UPPER(_xlfn.CONCAT(LEFT(Tableau1[[#This Row],[Supplier]],2),LEFT(Tableau1[[#This Row],[City Area]],2),LEFT(Tableau1[[#This Row],[Datacenter name (supplier code)]],4),LEFT(Tableau1[[#This Row],[Country]],2),RIGHT(Tableau1[[#This Row],[Datacenter name (supplier code)]],2)))</f>
        <v>EQSLLD7UND7</v>
      </c>
      <c r="B162" t="s">
        <v>30</v>
      </c>
      <c r="C162" t="s">
        <v>30</v>
      </c>
      <c r="D162" t="s">
        <v>45</v>
      </c>
      <c r="E162" t="s">
        <v>732</v>
      </c>
      <c r="F162" t="s">
        <v>833</v>
      </c>
      <c r="G162" t="s">
        <v>78</v>
      </c>
      <c r="H162" s="2" t="s">
        <v>602</v>
      </c>
      <c r="I162" t="s">
        <v>843</v>
      </c>
      <c r="J162" t="s">
        <v>844</v>
      </c>
      <c r="K162" t="s">
        <v>16</v>
      </c>
      <c r="L162" t="str">
        <f>IF(OR(Tableau1[[#This Row],[Type of DC]]="1 - Major",Tableau1[[#This Row],[Type of DC]]="2 - Opportunistic",Tableau1[[#This Row],[Type of DC]]="6 - Catalog"),"OUI","NON")</f>
        <v>OUI</v>
      </c>
      <c r="M162" t="s">
        <v>279</v>
      </c>
      <c r="N162" t="s">
        <v>845</v>
      </c>
      <c r="O162" t="s">
        <v>846</v>
      </c>
      <c r="P162" t="s">
        <v>1941</v>
      </c>
    </row>
    <row r="163" spans="1:16" hidden="1" x14ac:dyDescent="0.35">
      <c r="A163" t="str">
        <f>UPPER(_xlfn.CONCAT(LEFT(Tableau1[[#This Row],[Supplier]],2),LEFT(Tableau1[[#This Row],[City Area]],2),LEFT(Tableau1[[#This Row],[Datacenter name (supplier code)]],4),LEFT(Tableau1[[#This Row],[Country]],2),RIGHT(Tableau1[[#This Row],[Datacenter name (supplier code)]],2)))</f>
        <v>EQLOLD8UND8</v>
      </c>
      <c r="B163" t="s">
        <v>30</v>
      </c>
      <c r="C163" t="s">
        <v>30</v>
      </c>
      <c r="D163" t="s">
        <v>45</v>
      </c>
      <c r="E163" t="s">
        <v>732</v>
      </c>
      <c r="F163" t="s">
        <v>732</v>
      </c>
      <c r="G163" t="s">
        <v>78</v>
      </c>
      <c r="H163" s="2" t="s">
        <v>602</v>
      </c>
      <c r="I163" t="s">
        <v>847</v>
      </c>
      <c r="J163" t="s">
        <v>848</v>
      </c>
      <c r="K163" t="s">
        <v>16</v>
      </c>
      <c r="L163" t="str">
        <f>IF(OR(Tableau1[[#This Row],[Type of DC]]="1 - Major",Tableau1[[#This Row],[Type of DC]]="2 - Opportunistic",Tableau1[[#This Row],[Type of DC]]="6 - Catalog"),"OUI","NON")</f>
        <v>OUI</v>
      </c>
      <c r="M163" t="s">
        <v>279</v>
      </c>
      <c r="N163" t="s">
        <v>849</v>
      </c>
      <c r="O163" t="s">
        <v>850</v>
      </c>
      <c r="P163" t="s">
        <v>1941</v>
      </c>
    </row>
    <row r="164" spans="1:16" hidden="1" x14ac:dyDescent="0.35">
      <c r="A164" t="str">
        <f>UPPER(_xlfn.CONCAT(LEFT(Tableau1[[#This Row],[Supplier]],2),LEFT(Tableau1[[#This Row],[City Area]],2),LEFT(Tableau1[[#This Row],[Datacenter name (supplier code)]],4),LEFT(Tableau1[[#This Row],[Country]],2),RIGHT(Tableau1[[#This Row],[Datacenter name (supplier code)]],2)))</f>
        <v>EQLOLD9UND9</v>
      </c>
      <c r="B164" t="s">
        <v>30</v>
      </c>
      <c r="C164" t="s">
        <v>30</v>
      </c>
      <c r="D164" t="s">
        <v>45</v>
      </c>
      <c r="E164" t="s">
        <v>732</v>
      </c>
      <c r="F164" t="s">
        <v>732</v>
      </c>
      <c r="G164" t="s">
        <v>78</v>
      </c>
      <c r="H164" s="2" t="s">
        <v>602</v>
      </c>
      <c r="I164" t="s">
        <v>851</v>
      </c>
      <c r="J164" t="s">
        <v>852</v>
      </c>
      <c r="K164" t="s">
        <v>16</v>
      </c>
      <c r="L164" t="str">
        <f>IF(OR(Tableau1[[#This Row],[Type of DC]]="1 - Major",Tableau1[[#This Row],[Type of DC]]="2 - Opportunistic",Tableau1[[#This Row],[Type of DC]]="6 - Catalog"),"OUI","NON")</f>
        <v>OUI</v>
      </c>
      <c r="M164" t="s">
        <v>279</v>
      </c>
      <c r="N164" t="s">
        <v>853</v>
      </c>
      <c r="O164" t="s">
        <v>854</v>
      </c>
      <c r="P164" t="s">
        <v>1941</v>
      </c>
    </row>
    <row r="165" spans="1:16" hidden="1" x14ac:dyDescent="0.35">
      <c r="A165" t="str">
        <f>UPPER(_xlfn.CONCAT(LEFT(Tableau1[[#This Row],[Supplier]],2),LEFT(Tableau1[[#This Row],[City Area]],2),LEFT(Tableau1[[#This Row],[Datacenter name (supplier code)]],4),LEFT(Tableau1[[#This Row],[Country]],2),RIGHT(Tableau1[[#This Row],[Datacenter name (supplier code)]],2)))</f>
        <v>INMAMAD1SPD1</v>
      </c>
      <c r="B165" t="s">
        <v>30</v>
      </c>
      <c r="C165" t="s">
        <v>30</v>
      </c>
      <c r="D165" t="s">
        <v>42</v>
      </c>
      <c r="E165" t="s">
        <v>669</v>
      </c>
      <c r="F165" t="s">
        <v>669</v>
      </c>
      <c r="G165" t="s">
        <v>562</v>
      </c>
      <c r="H165" s="2" t="s">
        <v>1905</v>
      </c>
      <c r="I165" t="s">
        <v>670</v>
      </c>
      <c r="J165" t="s">
        <v>671</v>
      </c>
      <c r="K165" t="s">
        <v>16</v>
      </c>
      <c r="L165" t="str">
        <f>IF(OR(Tableau1[[#This Row],[Type of DC]]="1 - Major",Tableau1[[#This Row],[Type of DC]]="2 - Opportunistic",Tableau1[[#This Row],[Type of DC]]="6 - Catalog"),"OUI","NON")</f>
        <v>OUI</v>
      </c>
      <c r="M165" t="s">
        <v>132</v>
      </c>
      <c r="N165" t="s">
        <v>672</v>
      </c>
      <c r="O165" t="s">
        <v>673</v>
      </c>
      <c r="P165" s="25" t="s">
        <v>1947</v>
      </c>
    </row>
    <row r="166" spans="1:16" hidden="1" x14ac:dyDescent="0.35">
      <c r="A166" t="str">
        <f>UPPER(_xlfn.CONCAT(LEFT(Tableau1[[#This Row],[Supplier]],2),LEFT(Tableau1[[#This Row],[City Area]],2),LEFT(Tableau1[[#This Row],[Datacenter name (supplier code)]],4),LEFT(Tableau1[[#This Row],[Country]],2),RIGHT(Tableau1[[#This Row],[Datacenter name (supplier code)]],2)))</f>
        <v>ORLOORANPODZ</v>
      </c>
      <c r="B166" t="s">
        <v>30</v>
      </c>
      <c r="C166" t="s">
        <v>30</v>
      </c>
      <c r="D166" t="s">
        <v>38</v>
      </c>
      <c r="E166" t="s">
        <v>886</v>
      </c>
      <c r="F166" t="s">
        <v>886</v>
      </c>
      <c r="G166" t="s">
        <v>887</v>
      </c>
      <c r="H166" t="s">
        <v>888</v>
      </c>
      <c r="I166" t="s">
        <v>889</v>
      </c>
      <c r="J166" t="s">
        <v>890</v>
      </c>
      <c r="K166" t="s">
        <v>16</v>
      </c>
      <c r="L166" t="str">
        <f>IF(OR(Tableau1[[#This Row],[Type of DC]]="1 - Major",Tableau1[[#This Row],[Type of DC]]="2 - Opportunistic",Tableau1[[#This Row],[Type of DC]]="6 - Catalog"),"OUI","NON")</f>
        <v>OUI</v>
      </c>
      <c r="M166" t="s">
        <v>132</v>
      </c>
      <c r="N166" t="s">
        <v>891</v>
      </c>
      <c r="O166" t="s">
        <v>892</v>
      </c>
      <c r="P166" s="25" t="s">
        <v>1946</v>
      </c>
    </row>
    <row r="167" spans="1:16" hidden="1" x14ac:dyDescent="0.35">
      <c r="A167" t="str">
        <f>UPPER(_xlfn.CONCAT(LEFT(Tableau1[[#This Row],[Supplier]],2),LEFT(Tableau1[[#This Row],[City Area]],2),LEFT(Tableau1[[#This Row],[Datacenter name (supplier code)]],4),LEFT(Tableau1[[#This Row],[Country]],2),RIGHT(Tableau1[[#This Row],[Datacenter name (supplier code)]],2)))</f>
        <v>ORGRORANIVIB</v>
      </c>
      <c r="B167" t="s">
        <v>30</v>
      </c>
      <c r="C167" t="s">
        <v>30</v>
      </c>
      <c r="D167" t="s">
        <v>34</v>
      </c>
      <c r="E167" t="s">
        <v>899</v>
      </c>
      <c r="F167" t="s">
        <v>899</v>
      </c>
      <c r="G167" t="s">
        <v>900</v>
      </c>
      <c r="H167" s="7" t="s">
        <v>901</v>
      </c>
      <c r="I167" t="s">
        <v>902</v>
      </c>
      <c r="J167" t="s">
        <v>903</v>
      </c>
      <c r="K167" t="s">
        <v>16</v>
      </c>
      <c r="L167" t="str">
        <f>IF(OR(Tableau1[[#This Row],[Type of DC]]="1 - Major",Tableau1[[#This Row],[Type of DC]]="2 - Opportunistic",Tableau1[[#This Row],[Type of DC]]="6 - Catalog"),"OUI","NON")</f>
        <v>OUI</v>
      </c>
      <c r="M167" t="s">
        <v>132</v>
      </c>
      <c r="N167" t="s">
        <v>904</v>
      </c>
      <c r="O167" t="s">
        <v>905</v>
      </c>
      <c r="P167" t="s">
        <v>1954</v>
      </c>
    </row>
    <row r="168" spans="1:16" hidden="1" x14ac:dyDescent="0.35">
      <c r="A168" t="str">
        <f>UPPER(_xlfn.CONCAT(LEFT(Tableau1[[#This Row],[Supplier]],2),LEFT(Tableau1[[#This Row],[City Area]],2),LEFT(Tableau1[[#This Row],[Datacenter name (supplier code)]],4),LEFT(Tableau1[[#This Row],[Country]],2),RIGHT(Tableau1[[#This Row],[Datacenter name (supplier code)]],2)))</f>
        <v>OROSOSL3NOL3</v>
      </c>
      <c r="B168" t="s">
        <v>30</v>
      </c>
      <c r="C168" t="s">
        <v>30</v>
      </c>
      <c r="D168" t="s">
        <v>37</v>
      </c>
      <c r="E168" t="s">
        <v>583</v>
      </c>
      <c r="F168" t="s">
        <v>583</v>
      </c>
      <c r="G168" t="s">
        <v>584</v>
      </c>
      <c r="H168" s="7" t="s">
        <v>906</v>
      </c>
      <c r="I168" t="s">
        <v>907</v>
      </c>
      <c r="J168" t="s">
        <v>908</v>
      </c>
      <c r="K168" t="s">
        <v>15</v>
      </c>
      <c r="L168" t="str">
        <f>IF(OR(Tableau1[[#This Row],[Type of DC]]="1 - Major",Tableau1[[#This Row],[Type of DC]]="2 - Opportunistic",Tableau1[[#This Row],[Type of DC]]="6 - Catalog"),"OUI","NON")</f>
        <v>OUI</v>
      </c>
      <c r="M168" t="s">
        <v>569</v>
      </c>
      <c r="N168" t="s">
        <v>909</v>
      </c>
      <c r="O168" t="s">
        <v>910</v>
      </c>
      <c r="P168" s="25" t="s">
        <v>1949</v>
      </c>
    </row>
    <row r="169" spans="1:16" hidden="1" x14ac:dyDescent="0.35">
      <c r="A169" t="str">
        <f>UPPER(_xlfn.CONCAT(LEFT(Tableau1[[#This Row],[Supplier]],2),LEFT(Tableau1[[#This Row],[City Area]],2),LEFT(Tableau1[[#This Row],[Datacenter name (supplier code)]],4),LEFT(Tableau1[[#This Row],[Country]],2),RIGHT(Tableau1[[#This Row],[Datacenter name (supplier code)]],2)))</f>
        <v>OROSOSL5NOL5</v>
      </c>
      <c r="B169" t="s">
        <v>30</v>
      </c>
      <c r="C169" t="s">
        <v>30</v>
      </c>
      <c r="D169" t="s">
        <v>37</v>
      </c>
      <c r="E169" t="s">
        <v>583</v>
      </c>
      <c r="F169" t="s">
        <v>583</v>
      </c>
      <c r="G169" t="s">
        <v>584</v>
      </c>
      <c r="H169" s="7" t="s">
        <v>911</v>
      </c>
      <c r="I169" t="s">
        <v>912</v>
      </c>
      <c r="J169" t="s">
        <v>911</v>
      </c>
      <c r="K169" t="s">
        <v>15</v>
      </c>
      <c r="L169" t="str">
        <f>IF(OR(Tableau1[[#This Row],[Type of DC]]="1 - Major",Tableau1[[#This Row],[Type of DC]]="2 - Opportunistic",Tableau1[[#This Row],[Type of DC]]="6 - Catalog"),"OUI","NON")</f>
        <v>OUI</v>
      </c>
      <c r="M169" t="s">
        <v>569</v>
      </c>
      <c r="N169" t="s">
        <v>913</v>
      </c>
      <c r="O169" t="s">
        <v>914</v>
      </c>
      <c r="P169" s="25" t="s">
        <v>1949</v>
      </c>
    </row>
    <row r="170" spans="1:16" hidden="1" x14ac:dyDescent="0.35">
      <c r="A170" t="str">
        <f>UPPER(_xlfn.CONCAT(LEFT(Tableau1[[#This Row],[Supplier]],2),LEFT(Tableau1[[#This Row],[City Area]],2),LEFT(Tableau1[[#This Row],[Datacenter name (supplier code)]],4),LEFT(Tableau1[[#This Row],[Country]],2),RIGHT(Tableau1[[#This Row],[Datacenter name (supplier code)]],2)))</f>
        <v>ORAMCH1FRH1</v>
      </c>
      <c r="B170" t="s">
        <v>30</v>
      </c>
      <c r="C170" t="s">
        <v>30</v>
      </c>
      <c r="D170" t="s">
        <v>31</v>
      </c>
      <c r="E170" t="s">
        <v>357</v>
      </c>
      <c r="F170" t="s">
        <v>358</v>
      </c>
      <c r="G170" t="s">
        <v>283</v>
      </c>
      <c r="H170" s="22" t="s">
        <v>359</v>
      </c>
      <c r="I170" t="s">
        <v>360</v>
      </c>
      <c r="J170" t="s">
        <v>361</v>
      </c>
      <c r="K170" t="s">
        <v>15</v>
      </c>
      <c r="L170" t="str">
        <f>IF(OR(Tableau1[[#This Row],[Type of DC]]="1 - Major",Tableau1[[#This Row],[Type of DC]]="2 - Opportunistic",Tableau1[[#This Row],[Type of DC]]="6 - Catalog"),"OUI","NON")</f>
        <v>OUI</v>
      </c>
      <c r="M170" t="s">
        <v>279</v>
      </c>
      <c r="N170" t="s">
        <v>362</v>
      </c>
      <c r="O170" t="s">
        <v>363</v>
      </c>
      <c r="P170" s="21" t="s">
        <v>1936</v>
      </c>
    </row>
    <row r="171" spans="1:16" hidden="1" x14ac:dyDescent="0.35">
      <c r="A171" t="str">
        <f>UPPER(_xlfn.CONCAT(LEFT(Tableau1[[#This Row],[Supplier]],2),LEFT(Tableau1[[#This Row],[City Area]],2),LEFT(Tableau1[[#This Row],[Datacenter name (supplier code)]],4),LEFT(Tableau1[[#This Row],[Country]],2),RIGHT(Tableau1[[#This Row],[Datacenter name (supplier code)]],2)))</f>
        <v>ORVAND1FRD1</v>
      </c>
      <c r="B171" t="s">
        <v>30</v>
      </c>
      <c r="C171" t="s">
        <v>30</v>
      </c>
      <c r="D171" t="s">
        <v>31</v>
      </c>
      <c r="E171" t="s">
        <v>365</v>
      </c>
      <c r="F171" t="s">
        <v>366</v>
      </c>
      <c r="G171" t="s">
        <v>283</v>
      </c>
      <c r="H171" s="22" t="s">
        <v>367</v>
      </c>
      <c r="I171" t="s">
        <v>368</v>
      </c>
      <c r="J171" t="s">
        <v>369</v>
      </c>
      <c r="K171" t="s">
        <v>15</v>
      </c>
      <c r="L171" t="str">
        <f>IF(OR(Tableau1[[#This Row],[Type of DC]]="1 - Major",Tableau1[[#This Row],[Type of DC]]="2 - Opportunistic",Tableau1[[#This Row],[Type of DC]]="6 - Catalog"),"OUI","NON")</f>
        <v>OUI</v>
      </c>
      <c r="M171" t="s">
        <v>279</v>
      </c>
      <c r="N171" t="s">
        <v>370</v>
      </c>
      <c r="O171" t="s">
        <v>371</v>
      </c>
      <c r="P171" t="s">
        <v>1936</v>
      </c>
    </row>
    <row r="172" spans="1:16" hidden="1" x14ac:dyDescent="0.35">
      <c r="A172" t="str">
        <f>UPPER(_xlfn.CONCAT(LEFT(Tableau1[[#This Row],[Supplier]],2),LEFT(Tableau1[[#This Row],[City Area]],2),LEFT(Tableau1[[#This Row],[Datacenter name (supplier code)]],4),LEFT(Tableau1[[#This Row],[Country]],2),RIGHT(Tableau1[[#This Row],[Datacenter name (supplier code)]],2)))</f>
        <v>ORVAND2FRD2</v>
      </c>
      <c r="B172" t="s">
        <v>30</v>
      </c>
      <c r="C172" t="s">
        <v>30</v>
      </c>
      <c r="D172" t="s">
        <v>31</v>
      </c>
      <c r="E172" t="s">
        <v>365</v>
      </c>
      <c r="F172" t="s">
        <v>366</v>
      </c>
      <c r="G172" t="s">
        <v>283</v>
      </c>
      <c r="H172" s="22" t="s">
        <v>367</v>
      </c>
      <c r="I172" t="s">
        <v>368</v>
      </c>
      <c r="J172" t="s">
        <v>373</v>
      </c>
      <c r="K172" t="s">
        <v>15</v>
      </c>
      <c r="L172" t="str">
        <f>IF(OR(Tableau1[[#This Row],[Type of DC]]="1 - Major",Tableau1[[#This Row],[Type of DC]]="2 - Opportunistic",Tableau1[[#This Row],[Type of DC]]="6 - Catalog"),"OUI","NON")</f>
        <v>OUI</v>
      </c>
      <c r="M172" t="s">
        <v>279</v>
      </c>
      <c r="N172" t="s">
        <v>370</v>
      </c>
      <c r="O172" t="s">
        <v>371</v>
      </c>
      <c r="P172" t="s">
        <v>1936</v>
      </c>
    </row>
    <row r="173" spans="1:16" hidden="1" x14ac:dyDescent="0.35">
      <c r="A173" t="str">
        <f>UPPER(_xlfn.CONCAT(LEFT(Tableau1[[#This Row],[Supplier]],2),LEFT(Tableau1[[#This Row],[City Area]],2),LEFT(Tableau1[[#This Row],[Datacenter name (supplier code)]],4),LEFT(Tableau1[[#This Row],[Country]],2),RIGHT(Tableau1[[#This Row],[Datacenter name (supplier code)]],2)))</f>
        <v>EQZUZURISW02</v>
      </c>
      <c r="B173" t="s">
        <v>30</v>
      </c>
      <c r="C173" t="s">
        <v>30</v>
      </c>
      <c r="D173" t="s">
        <v>43</v>
      </c>
      <c r="E173" t="s">
        <v>700</v>
      </c>
      <c r="F173" t="s">
        <v>700</v>
      </c>
      <c r="G173" t="s">
        <v>69</v>
      </c>
      <c r="H173" t="s">
        <v>701</v>
      </c>
      <c r="I173" t="s">
        <v>702</v>
      </c>
      <c r="J173" t="s">
        <v>703</v>
      </c>
      <c r="K173" t="s">
        <v>16</v>
      </c>
      <c r="L173" t="str">
        <f>IF(OR(Tableau1[[#This Row],[Type of DC]]="1 - Major",Tableau1[[#This Row],[Type of DC]]="2 - Opportunistic",Tableau1[[#This Row],[Type of DC]]="6 - Catalog"),"OUI","NON")</f>
        <v>OUI</v>
      </c>
      <c r="M173" t="s">
        <v>414</v>
      </c>
      <c r="N173" s="20">
        <v>47.388479285801701</v>
      </c>
      <c r="O173" s="20">
        <v>8.4924989506119708</v>
      </c>
      <c r="P173" t="s">
        <v>1950</v>
      </c>
    </row>
    <row r="174" spans="1:16" hidden="1" x14ac:dyDescent="0.35">
      <c r="A174" t="str">
        <f>UPPER(_xlfn.CONCAT(LEFT(Tableau1[[#This Row],[Supplier]],2),LEFT(Tableau1[[#This Row],[City Area]],2),LEFT(Tableau1[[#This Row],[Datacenter name (supplier code)]],4),LEFT(Tableau1[[#This Row],[Country]],2),RIGHT(Tableau1[[#This Row],[Datacenter name (supplier code)]],2)))</f>
        <v>NTSASAN UNSE</v>
      </c>
      <c r="B174" t="s">
        <v>18</v>
      </c>
      <c r="C174" t="s">
        <v>531</v>
      </c>
      <c r="D174" t="s">
        <v>21</v>
      </c>
      <c r="E174" t="s">
        <v>574</v>
      </c>
      <c r="F174" t="s">
        <v>267</v>
      </c>
      <c r="G174" t="s">
        <v>207</v>
      </c>
      <c r="H174" t="s">
        <v>948</v>
      </c>
      <c r="I174" t="s">
        <v>949</v>
      </c>
      <c r="J174" t="s">
        <v>267</v>
      </c>
      <c r="K174" t="s">
        <v>73</v>
      </c>
      <c r="L174" t="str">
        <f>IF(OR(Tableau1[[#This Row],[Type of DC]]="1 - Major",Tableau1[[#This Row],[Type of DC]]="2 - Opportunistic",Tableau1[[#This Row],[Type of DC]]="6 - Catalog"),"OUI","NON")</f>
        <v>NON</v>
      </c>
      <c r="M174" t="s">
        <v>538</v>
      </c>
      <c r="N174" t="s">
        <v>950</v>
      </c>
      <c r="O174" t="s">
        <v>951</v>
      </c>
    </row>
    <row r="175" spans="1:16" hidden="1" x14ac:dyDescent="0.35">
      <c r="A175" t="str">
        <f>UPPER(_xlfn.CONCAT(LEFT(Tableau1[[#This Row],[Supplier]],2),LEFT(Tableau1[[#This Row],[City Area]],2),LEFT(Tableau1[[#This Row],[Datacenter name (supplier code)]],4),LEFT(Tableau1[[#This Row],[Country]],2),RIGHT(Tableau1[[#This Row],[Datacenter name (supplier code)]],2)))</f>
        <v>QTATATL1UNL1</v>
      </c>
      <c r="B175" t="s">
        <v>18</v>
      </c>
      <c r="C175" t="s">
        <v>531</v>
      </c>
      <c r="D175" t="s">
        <v>21</v>
      </c>
      <c r="E175" t="s">
        <v>607</v>
      </c>
      <c r="F175" t="s">
        <v>608</v>
      </c>
      <c r="G175" t="s">
        <v>953</v>
      </c>
      <c r="H175" t="s">
        <v>954</v>
      </c>
      <c r="I175" t="s">
        <v>955</v>
      </c>
      <c r="J175" t="s">
        <v>956</v>
      </c>
      <c r="K175" t="s">
        <v>379</v>
      </c>
      <c r="L175" t="str">
        <f>IF(OR(Tableau1[[#This Row],[Type of DC]]="1 - Major",Tableau1[[#This Row],[Type of DC]]="2 - Opportunistic",Tableau1[[#This Row],[Type of DC]]="6 - Catalog"),"OUI","NON")</f>
        <v>NON</v>
      </c>
      <c r="M175" t="s">
        <v>538</v>
      </c>
      <c r="N175" t="s">
        <v>957</v>
      </c>
      <c r="O175" t="s">
        <v>958</v>
      </c>
    </row>
    <row r="176" spans="1:16" hidden="1" x14ac:dyDescent="0.35">
      <c r="A176" t="str">
        <f>UPPER(_xlfn.CONCAT(LEFT(Tableau1[[#This Row],[Supplier]],2),LEFT(Tableau1[[#This Row],[City Area]],2),LEFT(Tableau1[[#This Row],[Datacenter name (supplier code)]],4),LEFT(Tableau1[[#This Row],[Country]],2),RIGHT(Tableau1[[#This Row],[Datacenter name (supplier code)]],2)))</f>
        <v>ORHEIADXUN01</v>
      </c>
      <c r="B176" t="s">
        <v>18</v>
      </c>
      <c r="C176" t="s">
        <v>531</v>
      </c>
      <c r="D176" t="s">
        <v>21</v>
      </c>
      <c r="E176" t="s">
        <v>775</v>
      </c>
      <c r="F176" t="s">
        <v>959</v>
      </c>
      <c r="G176" t="s">
        <v>235</v>
      </c>
      <c r="H176" t="s">
        <v>960</v>
      </c>
      <c r="I176" t="s">
        <v>961</v>
      </c>
      <c r="J176" t="s">
        <v>960</v>
      </c>
      <c r="K176" t="s">
        <v>73</v>
      </c>
      <c r="L176" t="str">
        <f>IF(OR(Tableau1[[#This Row],[Type of DC]]="1 - Major",Tableau1[[#This Row],[Type of DC]]="2 - Opportunistic",Tableau1[[#This Row],[Type of DC]]="6 - Catalog"),"OUI","NON")</f>
        <v>NON</v>
      </c>
      <c r="M176" t="s">
        <v>538</v>
      </c>
      <c r="N176" t="s">
        <v>962</v>
      </c>
      <c r="O176" t="s">
        <v>963</v>
      </c>
    </row>
    <row r="177" spans="1:16" hidden="1" x14ac:dyDescent="0.35">
      <c r="A177" t="str">
        <f>UPPER(_xlfn.CONCAT(LEFT(Tableau1[[#This Row],[Supplier]],2),LEFT(Tableau1[[#This Row],[City Area]],2),LEFT(Tableau1[[#This Row],[Datacenter name (supplier code)]],4),LEFT(Tableau1[[#This Row],[Country]],2),RIGHT(Tableau1[[#This Row],[Datacenter name (supplier code)]],2)))</f>
        <v>ORDAORANSEUE</v>
      </c>
      <c r="B177" t="s">
        <v>30</v>
      </c>
      <c r="C177" t="s">
        <v>30</v>
      </c>
      <c r="D177" t="s">
        <v>40</v>
      </c>
      <c r="E177" t="s">
        <v>893</v>
      </c>
      <c r="F177" t="s">
        <v>893</v>
      </c>
      <c r="G177" t="s">
        <v>894</v>
      </c>
      <c r="H177" s="2" t="s">
        <v>602</v>
      </c>
      <c r="I177" t="s">
        <v>895</v>
      </c>
      <c r="J177" t="s">
        <v>896</v>
      </c>
      <c r="K177" t="s">
        <v>16</v>
      </c>
      <c r="L177" t="str">
        <f>IF(OR(Tableau1[[#This Row],[Type of DC]]="1 - Major",Tableau1[[#This Row],[Type of DC]]="2 - Opportunistic",Tableau1[[#This Row],[Type of DC]]="6 - Catalog"),"OUI","NON")</f>
        <v>OUI</v>
      </c>
      <c r="M177" t="s">
        <v>132</v>
      </c>
      <c r="N177" t="s">
        <v>897</v>
      </c>
      <c r="O177" t="s">
        <v>898</v>
      </c>
      <c r="P177" t="s">
        <v>1952</v>
      </c>
    </row>
    <row r="178" spans="1:16" hidden="1" x14ac:dyDescent="0.35">
      <c r="A178" t="str">
        <f>UPPER(_xlfn.CONCAT(LEFT(Tableau1[[#This Row],[Supplier]],2),LEFT(Tableau1[[#This Row],[City Area]],2),LEFT(Tableau1[[#This Row],[Datacenter name (supplier code)]],4),LEFT(Tableau1[[#This Row],[Country]],2),RIGHT(Tableau1[[#This Row],[Datacenter name (supplier code)]],2)))</f>
        <v>TEPATH3FRH3</v>
      </c>
      <c r="B178" t="s">
        <v>30</v>
      </c>
      <c r="C178" t="s">
        <v>30</v>
      </c>
      <c r="D178" t="s">
        <v>31</v>
      </c>
      <c r="E178" t="s">
        <v>274</v>
      </c>
      <c r="F178" t="s">
        <v>274</v>
      </c>
      <c r="G178" t="s">
        <v>382</v>
      </c>
      <c r="H178" s="9" t="s">
        <v>87</v>
      </c>
      <c r="I178" t="s">
        <v>387</v>
      </c>
      <c r="J178" t="s">
        <v>388</v>
      </c>
      <c r="K178" t="s">
        <v>16</v>
      </c>
      <c r="L178" t="str">
        <f>IF(OR(Tableau1[[#This Row],[Type of DC]]="1 - Major",Tableau1[[#This Row],[Type of DC]]="2 - Opportunistic",Tableau1[[#This Row],[Type of DC]]="6 - Catalog"),"OUI","NON")</f>
        <v>OUI</v>
      </c>
      <c r="M178" t="s">
        <v>279</v>
      </c>
      <c r="N178" t="s">
        <v>389</v>
      </c>
      <c r="O178" t="s">
        <v>390</v>
      </c>
      <c r="P178" s="25" t="s">
        <v>1940</v>
      </c>
    </row>
    <row r="179" spans="1:16" hidden="1" x14ac:dyDescent="0.35">
      <c r="A179" t="str">
        <f>UPPER(_xlfn.CONCAT(LEFT(Tableau1[[#This Row],[Supplier]],2),LEFT(Tableau1[[#This Row],[City Area]],2),LEFT(Tableau1[[#This Row],[Datacenter name (supplier code)]],4),LEFT(Tableau1[[#This Row],[Country]],2),RIGHT(Tableau1[[#This Row],[Datacenter name (supplier code)]],2)))</f>
        <v>TEPATH2FRH2</v>
      </c>
      <c r="B179" t="s">
        <v>30</v>
      </c>
      <c r="C179" t="s">
        <v>30</v>
      </c>
      <c r="D179" t="s">
        <v>31</v>
      </c>
      <c r="E179" t="s">
        <v>274</v>
      </c>
      <c r="F179" t="s">
        <v>274</v>
      </c>
      <c r="G179" t="s">
        <v>382</v>
      </c>
      <c r="H179" s="7" t="s">
        <v>392</v>
      </c>
      <c r="I179" t="s">
        <v>393</v>
      </c>
      <c r="J179" t="s">
        <v>394</v>
      </c>
      <c r="K179" t="s">
        <v>16</v>
      </c>
      <c r="L179" t="str">
        <f>IF(OR(Tableau1[[#This Row],[Type of DC]]="1 - Major",Tableau1[[#This Row],[Type of DC]]="2 - Opportunistic",Tableau1[[#This Row],[Type of DC]]="6 - Catalog"),"OUI","NON")</f>
        <v>OUI</v>
      </c>
      <c r="M179" t="s">
        <v>279</v>
      </c>
      <c r="N179" t="s">
        <v>395</v>
      </c>
      <c r="O179" t="s">
        <v>396</v>
      </c>
      <c r="P179" s="25" t="s">
        <v>1940</v>
      </c>
    </row>
    <row r="180" spans="1:16" hidden="1" x14ac:dyDescent="0.35">
      <c r="A180" t="str">
        <f>UPPER(_xlfn.CONCAT(LEFT(Tableau1[[#This Row],[Supplier]],2),LEFT(Tableau1[[#This Row],[City Area]],2),LEFT(Tableau1[[#This Row],[Datacenter name (supplier code)]],4),LEFT(Tableau1[[#This Row],[Country]],2),RIGHT(Tableau1[[#This Row],[Datacenter name (supplier code)]],2)))</f>
        <v>CTNONOIDINC1</v>
      </c>
      <c r="B180" t="s">
        <v>23</v>
      </c>
      <c r="C180" t="s">
        <v>23</v>
      </c>
      <c r="D180" t="s">
        <v>26</v>
      </c>
      <c r="E180" t="s">
        <v>974</v>
      </c>
      <c r="F180" t="s">
        <v>974</v>
      </c>
      <c r="G180" t="s">
        <v>975</v>
      </c>
      <c r="H180" t="s">
        <v>976</v>
      </c>
      <c r="I180" t="s">
        <v>977</v>
      </c>
      <c r="J180" t="s">
        <v>978</v>
      </c>
      <c r="K180" s="18" t="s">
        <v>63</v>
      </c>
      <c r="L180" t="str">
        <f>IF(OR(Tableau1[[#This Row],[Type of DC]]="1 - Major",Tableau1[[#This Row],[Type of DC]]="2 - Opportunistic",Tableau1[[#This Row],[Type of DC]]="6 - Catalog"),"OUI","NON")</f>
        <v>NON</v>
      </c>
      <c r="M180" t="s">
        <v>74</v>
      </c>
      <c r="N180" s="19">
        <v>28.531099999999999</v>
      </c>
      <c r="O180" s="19">
        <v>77.351799999999997</v>
      </c>
    </row>
    <row r="181" spans="1:16" x14ac:dyDescent="0.35">
      <c r="A181" t="str">
        <f>UPPER(_xlfn.CONCAT(LEFT(Tableau1[[#This Row],[Supplier]],2),LEFT(Tableau1[[#This Row],[City Area]],2),LEFT(Tableau1[[#This Row],[Datacenter name (supplier code)]],4),LEFT(Tableau1[[#This Row],[Country]],2),RIGHT(Tableau1[[#This Row],[Datacenter name (supplier code)]],2)))</f>
        <v>TEJOJB1SOB1</v>
      </c>
      <c r="B181" t="s">
        <v>30</v>
      </c>
      <c r="C181" t="s">
        <v>30</v>
      </c>
      <c r="D181" t="s">
        <v>41</v>
      </c>
      <c r="E181" t="s">
        <v>657</v>
      </c>
      <c r="F181" t="s">
        <v>657</v>
      </c>
      <c r="G181" t="s">
        <v>663</v>
      </c>
      <c r="H181" s="2" t="s">
        <v>602</v>
      </c>
      <c r="I181" t="s">
        <v>664</v>
      </c>
      <c r="J181" t="s">
        <v>665</v>
      </c>
      <c r="K181" t="s">
        <v>16</v>
      </c>
      <c r="L181" t="str">
        <f>IF(OR(Tableau1[[#This Row],[Type of DC]]="1 - Major",Tableau1[[#This Row],[Type of DC]]="2 - Opportunistic",Tableau1[[#This Row],[Type of DC]]="6 - Catalog"),"OUI","NON")</f>
        <v>OUI</v>
      </c>
      <c r="M181" t="s">
        <v>132</v>
      </c>
      <c r="N181" t="s">
        <v>666</v>
      </c>
      <c r="O181" t="s">
        <v>667</v>
      </c>
      <c r="P181" t="s">
        <v>668</v>
      </c>
    </row>
  </sheetData>
  <conditionalFormatting sqref="A2:A181">
    <cfRule type="duplicateValues" dxfId="11" priority="12"/>
  </conditionalFormatting>
  <conditionalFormatting sqref="K1:K1048576">
    <cfRule type="containsText" dxfId="10" priority="1" operator="containsText" text="5 - Closed">
      <formula>NOT(ISERROR(SEARCH("5 - Closed",K1)))</formula>
    </cfRule>
    <cfRule type="containsText" dxfId="9" priority="2" operator="containsText" text="4 - Frozen">
      <formula>NOT(ISERROR(SEARCH("4 - Frozen",K1)))</formula>
    </cfRule>
    <cfRule type="containsText" dxfId="8" priority="3" operator="containsText" text="3 - Opportunistic not to promote">
      <formula>NOT(ISERROR(SEARCH("3 - Opportunistic not to promote",K1)))</formula>
    </cfRule>
    <cfRule type="containsText" dxfId="7" priority="4" operator="containsText" text="2 - Opportunistic">
      <formula>NOT(ISERROR(SEARCH("2 - Opportunistic",K1)))</formula>
    </cfRule>
    <cfRule type="containsText" dxfId="6" priority="5" operator="containsText" text="1 - Major">
      <formula>NOT(ISERROR(SEARCH("1 - Major",K1)))</formula>
    </cfRule>
  </conditionalFormatting>
  <conditionalFormatting sqref="N2:P181">
    <cfRule type="duplicateValues" dxfId="5" priority="13"/>
  </conditionalFormatting>
  <hyperlinks>
    <hyperlink ref="P85" r:id="rId1" xr:uid="{270DEE77-964F-4053-99A4-78E31E60FE52}"/>
    <hyperlink ref="P144" r:id="rId2" xr:uid="{338CD3DB-94A7-470D-9A62-2E918EF21429}"/>
    <hyperlink ref="P137" r:id="rId3" xr:uid="{93E399A5-F36A-4B3C-96F6-9BECD1AA68EA}"/>
    <hyperlink ref="P138" r:id="rId4" xr:uid="{134DEBDA-A5FD-459C-8790-BAC6C7263A1D}"/>
    <hyperlink ref="P139" r:id="rId5" xr:uid="{5BE2D82A-B60C-49F2-A30C-A9AB48E218A3}"/>
    <hyperlink ref="P140" r:id="rId6" xr:uid="{EF45AAE2-B6DD-450B-9BCB-0192228440AA}"/>
    <hyperlink ref="P141" r:id="rId7" xr:uid="{AE536265-B624-4241-AF6F-A45E5C13808C}"/>
    <hyperlink ref="P142" r:id="rId8" xr:uid="{61639B13-57C8-43E0-B1D1-674F71D515B2}"/>
    <hyperlink ref="P114" r:id="rId9" xr:uid="{1852605E-2CB2-4823-86BB-10DB262E15B8}"/>
    <hyperlink ref="P115" r:id="rId10" xr:uid="{891A2575-42A5-478C-ADE4-626B30545ED2}"/>
    <hyperlink ref="P110" r:id="rId11" xr:uid="{D07EDA0C-7CF1-4C02-BBC0-A0C575760E84}"/>
    <hyperlink ref="P112" r:id="rId12" xr:uid="{BF4A2687-F899-45CC-8F9E-E8A41EB1FED5}"/>
    <hyperlink ref="P121" r:id="rId13" xr:uid="{35D1D686-CD74-42A5-A647-FB3526961604}"/>
    <hyperlink ref="P178" r:id="rId14" xr:uid="{B70EEC46-9CEF-4C65-9E31-9582E0132FDF}"/>
    <hyperlink ref="P179" r:id="rId15" xr:uid="{614A8BB4-03DF-47A9-9FC5-7B9C20F411E3}"/>
    <hyperlink ref="P109" r:id="rId16" xr:uid="{0629720B-F81C-4634-AED4-7F902442EC40}"/>
    <hyperlink ref="P146" r:id="rId17" xr:uid="{ABF7B328-48BD-4E00-B583-215605F9114B}"/>
    <hyperlink ref="P147" r:id="rId18" xr:uid="{7F5174CF-B00E-40CE-962A-1C56D75FAD0D}"/>
    <hyperlink ref="P148" r:id="rId19" xr:uid="{341EE6A5-789D-46D1-A99B-CA0C97009B91}"/>
    <hyperlink ref="P149" r:id="rId20" xr:uid="{EA2E0DAD-FBBE-44F7-B7EF-EB717FE75EA1}"/>
    <hyperlink ref="P150" r:id="rId21" xr:uid="{B6DF29E8-690D-43E4-8031-6DD6FF5BE4C3}"/>
    <hyperlink ref="P129" r:id="rId22" xr:uid="{D0E75487-5BCF-4015-AF14-94733997171D}"/>
    <hyperlink ref="P134" r:id="rId23" xr:uid="{74C8BED1-5714-48D9-9419-E975E2D30C1E}"/>
    <hyperlink ref="P152" r:id="rId24" xr:uid="{79093FA7-4178-48FB-89F7-A59E6113E317}"/>
    <hyperlink ref="P153" r:id="rId25" xr:uid="{50B51E32-1360-4C5E-8EBD-E4B99FBCEA1B}"/>
    <hyperlink ref="P154" r:id="rId26" xr:uid="{19262CEE-47AA-4AE1-9F49-8A01A4920594}"/>
    <hyperlink ref="P155" r:id="rId27" xr:uid="{0177BBC6-0D6F-4555-AFA8-85454F83B2D7}"/>
    <hyperlink ref="P156" r:id="rId28" xr:uid="{5FBBA0F3-9A7E-4531-B157-D706B8FC10B5}"/>
    <hyperlink ref="P166" r:id="rId29" xr:uid="{33BDD11A-1592-479F-A110-36356EF640E8}"/>
    <hyperlink ref="P165" r:id="rId30" xr:uid="{6F85FF49-3DFC-44BA-B965-69A8F5794E19}"/>
    <hyperlink ref="P157" r:id="rId31" xr:uid="{B0B2A9E8-80B4-4AC0-A9B0-8F8F19523D2B}"/>
    <hyperlink ref="P168" r:id="rId32" xr:uid="{B6BAC76C-A3F4-407B-8E81-224E6BCDCE34}"/>
    <hyperlink ref="P169" r:id="rId33" xr:uid="{981ED234-B8F4-4E61-A787-61A17FFAADE0}"/>
    <hyperlink ref="P132" r:id="rId34" xr:uid="{6E6C5827-BC58-41C9-BA72-203F1F91A5A0}"/>
  </hyperlinks>
  <pageMargins left="0.7" right="0.7" top="0.75" bottom="0.75" header="0.3" footer="0.3"/>
  <pageSetup paperSize="9" orientation="portrait" r:id="rId35"/>
  <headerFooter>
    <oddFooter>&amp;C_x000D_&amp;1#&amp;"Helvetica 75 Bold"&amp;8&amp;KED7D31 Orange Restricted</oddFooter>
  </headerFooter>
  <tableParts count="1">
    <tablePart r:id="rId36"/>
  </tableParts>
  <extLst>
    <ext xmlns:x14="http://schemas.microsoft.com/office/spreadsheetml/2009/9/main" uri="{CCE6A557-97BC-4b89-ADB6-D9C93CAAB3DF}">
      <x14:dataValidations xmlns:xm="http://schemas.microsoft.com/office/excel/2006/main" count="1">
        <x14:dataValidation type="list" allowBlank="1" showInputMessage="1" showErrorMessage="1" errorTitle="Validation error" error="Pick a type of DC from the list" promptTitle="Select from the list" xr:uid="{DDF1CF0A-83E9-4ABB-A9E9-CC319FEE571C}">
          <x14:formula1>
            <xm:f>Sheet1!$A$1:$A$6</xm:f>
          </x14:formula1>
          <xm:sqref>K2:K1048576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1839B-9FAC-4C39-8F4B-E67D79D6B04D}">
  <dimension ref="A2:A6"/>
  <sheetViews>
    <sheetView workbookViewId="0">
      <selection activeCell="D6" sqref="D6"/>
    </sheetView>
  </sheetViews>
  <sheetFormatPr baseColWidth="10" defaultColWidth="8.81640625" defaultRowHeight="14.5" x14ac:dyDescent="0.35"/>
  <cols>
    <col min="1" max="1" width="28.6328125" bestFit="1" customWidth="1"/>
  </cols>
  <sheetData>
    <row r="2" spans="1:1" x14ac:dyDescent="0.35">
      <c r="A2" s="23" t="s">
        <v>15</v>
      </c>
    </row>
    <row r="3" spans="1:1" x14ac:dyDescent="0.35">
      <c r="A3" s="24" t="s">
        <v>16</v>
      </c>
    </row>
    <row r="4" spans="1:1" x14ac:dyDescent="0.35">
      <c r="A4" s="23" t="s">
        <v>63</v>
      </c>
    </row>
    <row r="5" spans="1:1" x14ac:dyDescent="0.35">
      <c r="A5" s="24" t="s">
        <v>379</v>
      </c>
    </row>
    <row r="6" spans="1:1" x14ac:dyDescent="0.35">
      <c r="A6" s="23" t="s">
        <v>73</v>
      </c>
    </row>
  </sheetData>
  <conditionalFormatting sqref="A2:A6">
    <cfRule type="containsText" dxfId="4" priority="1" operator="containsText" text="5 - Closed">
      <formula>NOT(ISERROR(SEARCH("5 - Closed",A2)))</formula>
    </cfRule>
    <cfRule type="containsText" dxfId="3" priority="2" operator="containsText" text="4 - Frozen">
      <formula>NOT(ISERROR(SEARCH("4 - Frozen",A2)))</formula>
    </cfRule>
    <cfRule type="containsText" dxfId="2" priority="3" operator="containsText" text="3 - Opportunistic not to promote">
      <formula>NOT(ISERROR(SEARCH("3 - Opportunistic not to promote",A2)))</formula>
    </cfRule>
    <cfRule type="containsText" dxfId="1" priority="4" operator="containsText" text="2 - Opportunistic">
      <formula>NOT(ISERROR(SEARCH("2 - Opportunistic",A2)))</formula>
    </cfRule>
    <cfRule type="containsText" dxfId="0" priority="5" operator="containsText" text="1 - Major">
      <formula>NOT(ISERROR(SEARCH("1 - Major",A2)))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3E354-295B-444D-8795-96959D08B223}">
  <sheetPr codeName="Feuil2"/>
  <dimension ref="A1:Y116"/>
  <sheetViews>
    <sheetView topLeftCell="I1" zoomScale="70" zoomScaleNormal="70" workbookViewId="0">
      <selection activeCell="R94" sqref="R94"/>
    </sheetView>
  </sheetViews>
  <sheetFormatPr baseColWidth="10" defaultColWidth="11.453125" defaultRowHeight="14.5" x14ac:dyDescent="0.35"/>
  <cols>
    <col min="3" max="3" width="12.54296875" customWidth="1"/>
    <col min="6" max="6" width="17.453125" customWidth="1"/>
    <col min="8" max="8" width="30.54296875" customWidth="1"/>
    <col min="9" max="9" width="30" bestFit="1" customWidth="1"/>
    <col min="10" max="11" width="23.1796875" customWidth="1"/>
    <col min="12" max="12" width="23.453125" customWidth="1"/>
    <col min="13" max="13" width="60.1796875" customWidth="1"/>
    <col min="14" max="14" width="29.453125" customWidth="1"/>
    <col min="15" max="15" width="24.81640625" customWidth="1"/>
    <col min="16" max="16" width="17.1796875" customWidth="1"/>
    <col min="17" max="17" width="20.1796875" customWidth="1"/>
    <col min="18" max="18" width="16.54296875" customWidth="1"/>
    <col min="20" max="20" width="70.1796875" customWidth="1"/>
    <col min="21" max="21" width="28.81640625" customWidth="1"/>
    <col min="22" max="22" width="30.54296875" customWidth="1"/>
    <col min="23" max="23" width="14.453125" customWidth="1"/>
    <col min="24" max="24" width="49.81640625" customWidth="1"/>
    <col min="25" max="25" width="21.1796875" customWidth="1"/>
  </cols>
  <sheetData>
    <row r="1" spans="1:25" x14ac:dyDescent="0.35">
      <c r="A1" t="s">
        <v>47</v>
      </c>
      <c r="B1" t="s">
        <v>14</v>
      </c>
      <c r="C1" t="s">
        <v>48</v>
      </c>
      <c r="D1" t="s">
        <v>49</v>
      </c>
      <c r="E1" t="s">
        <v>50</v>
      </c>
      <c r="F1" t="s">
        <v>51</v>
      </c>
      <c r="G1" t="s">
        <v>8</v>
      </c>
      <c r="H1" t="s">
        <v>52</v>
      </c>
      <c r="I1" t="s">
        <v>12</v>
      </c>
      <c r="J1" t="s">
        <v>981</v>
      </c>
      <c r="K1" t="s">
        <v>982</v>
      </c>
      <c r="L1" t="s">
        <v>983</v>
      </c>
      <c r="M1" t="s">
        <v>984</v>
      </c>
      <c r="N1" t="s">
        <v>985</v>
      </c>
      <c r="O1" t="s">
        <v>986</v>
      </c>
      <c r="P1" t="s">
        <v>987</v>
      </c>
      <c r="Q1" t="s">
        <v>988</v>
      </c>
      <c r="R1" t="s">
        <v>989</v>
      </c>
      <c r="S1" t="s">
        <v>990</v>
      </c>
      <c r="T1" t="s">
        <v>991</v>
      </c>
      <c r="U1" t="s">
        <v>992</v>
      </c>
      <c r="V1" t="s">
        <v>993</v>
      </c>
      <c r="W1" t="s">
        <v>994</v>
      </c>
      <c r="X1" t="s">
        <v>995</v>
      </c>
      <c r="Y1" t="s">
        <v>996</v>
      </c>
    </row>
    <row r="2" spans="1:25" hidden="1" x14ac:dyDescent="0.35">
      <c r="A2" t="s">
        <v>30</v>
      </c>
      <c r="B2" t="s">
        <v>31</v>
      </c>
      <c r="C2" t="s">
        <v>274</v>
      </c>
      <c r="D2" t="s">
        <v>282</v>
      </c>
      <c r="E2" t="s">
        <v>283</v>
      </c>
      <c r="F2" t="s">
        <v>284</v>
      </c>
      <c r="G2" t="s">
        <v>285</v>
      </c>
      <c r="H2" t="s">
        <v>286</v>
      </c>
      <c r="I2" t="s">
        <v>73</v>
      </c>
      <c r="J2" t="s">
        <v>997</v>
      </c>
      <c r="K2" t="s">
        <v>998</v>
      </c>
      <c r="L2" t="s">
        <v>999</v>
      </c>
      <c r="M2" t="s">
        <v>1000</v>
      </c>
      <c r="N2" t="s">
        <v>1001</v>
      </c>
      <c r="O2" t="s">
        <v>1002</v>
      </c>
      <c r="P2" t="s">
        <v>1003</v>
      </c>
      <c r="Q2" t="s">
        <v>1004</v>
      </c>
      <c r="R2" t="s">
        <v>1005</v>
      </c>
      <c r="S2">
        <v>1500</v>
      </c>
      <c r="T2" t="s">
        <v>1006</v>
      </c>
      <c r="U2" t="s">
        <v>1007</v>
      </c>
      <c r="V2">
        <v>0</v>
      </c>
    </row>
    <row r="3" spans="1:25" hidden="1" x14ac:dyDescent="0.35">
      <c r="A3" t="s">
        <v>30</v>
      </c>
      <c r="B3" t="s">
        <v>31</v>
      </c>
      <c r="C3" t="s">
        <v>374</v>
      </c>
      <c r="D3" t="s">
        <v>375</v>
      </c>
      <c r="E3" t="s">
        <v>283</v>
      </c>
      <c r="F3" t="s">
        <v>1008</v>
      </c>
      <c r="G3" t="s">
        <v>1009</v>
      </c>
      <c r="H3" t="s">
        <v>1010</v>
      </c>
      <c r="I3" t="s">
        <v>379</v>
      </c>
      <c r="J3" t="s">
        <v>1011</v>
      </c>
      <c r="K3" t="s">
        <v>1012</v>
      </c>
      <c r="L3" t="s">
        <v>999</v>
      </c>
      <c r="M3" t="s">
        <v>1000</v>
      </c>
      <c r="N3" t="s">
        <v>1001</v>
      </c>
      <c r="O3" t="s">
        <v>1002</v>
      </c>
      <c r="P3" t="s">
        <v>1013</v>
      </c>
      <c r="Q3" t="s">
        <v>1014</v>
      </c>
      <c r="R3" t="s">
        <v>1015</v>
      </c>
      <c r="S3" t="s">
        <v>1016</v>
      </c>
      <c r="T3" t="s">
        <v>1017</v>
      </c>
      <c r="U3" t="s">
        <v>1007</v>
      </c>
      <c r="V3">
        <v>0</v>
      </c>
    </row>
    <row r="4" spans="1:25" hidden="1" x14ac:dyDescent="0.35">
      <c r="A4" t="s">
        <v>30</v>
      </c>
      <c r="B4" t="s">
        <v>31</v>
      </c>
      <c r="C4" t="s">
        <v>274</v>
      </c>
      <c r="D4" t="s">
        <v>397</v>
      </c>
      <c r="E4" t="s">
        <v>283</v>
      </c>
      <c r="F4" t="s">
        <v>398</v>
      </c>
      <c r="G4" t="s">
        <v>1018</v>
      </c>
      <c r="H4" t="s">
        <v>400</v>
      </c>
      <c r="I4" t="s">
        <v>15</v>
      </c>
      <c r="K4" t="s">
        <v>1019</v>
      </c>
      <c r="L4" t="s">
        <v>999</v>
      </c>
      <c r="M4" t="s">
        <v>1000</v>
      </c>
      <c r="N4" t="s">
        <v>1001</v>
      </c>
      <c r="O4" t="s">
        <v>1002</v>
      </c>
      <c r="P4" t="s">
        <v>1020</v>
      </c>
      <c r="Q4" t="s">
        <v>1021</v>
      </c>
      <c r="R4" t="s">
        <v>1022</v>
      </c>
      <c r="S4" t="s">
        <v>1023</v>
      </c>
      <c r="T4" t="s">
        <v>1017</v>
      </c>
      <c r="U4" t="s">
        <v>1024</v>
      </c>
      <c r="V4">
        <v>0</v>
      </c>
      <c r="W4">
        <v>654</v>
      </c>
    </row>
    <row r="5" spans="1:25" hidden="1" x14ac:dyDescent="0.35">
      <c r="A5" t="s">
        <v>30</v>
      </c>
      <c r="B5" t="s">
        <v>31</v>
      </c>
      <c r="C5" t="s">
        <v>274</v>
      </c>
      <c r="D5" t="s">
        <v>404</v>
      </c>
      <c r="E5" t="s">
        <v>283</v>
      </c>
      <c r="F5" t="s">
        <v>405</v>
      </c>
      <c r="G5" t="s">
        <v>1025</v>
      </c>
      <c r="H5" t="s">
        <v>407</v>
      </c>
      <c r="I5" t="s">
        <v>15</v>
      </c>
      <c r="K5" t="s">
        <v>1026</v>
      </c>
      <c r="L5" t="s">
        <v>999</v>
      </c>
      <c r="M5" t="s">
        <v>1000</v>
      </c>
      <c r="N5" t="s">
        <v>1001</v>
      </c>
      <c r="O5" t="s">
        <v>1002</v>
      </c>
      <c r="P5" t="s">
        <v>1020</v>
      </c>
      <c r="Q5" t="s">
        <v>1027</v>
      </c>
      <c r="R5" t="s">
        <v>1028</v>
      </c>
      <c r="S5" t="s">
        <v>1029</v>
      </c>
      <c r="T5" t="s">
        <v>1017</v>
      </c>
      <c r="U5" t="s">
        <v>1024</v>
      </c>
      <c r="V5">
        <v>0</v>
      </c>
      <c r="W5">
        <v>650</v>
      </c>
    </row>
    <row r="6" spans="1:25" hidden="1" x14ac:dyDescent="0.35">
      <c r="A6" t="s">
        <v>30</v>
      </c>
      <c r="B6" t="s">
        <v>31</v>
      </c>
      <c r="C6" t="s">
        <v>365</v>
      </c>
      <c r="D6" t="s">
        <v>366</v>
      </c>
      <c r="E6" t="s">
        <v>283</v>
      </c>
      <c r="F6" t="s">
        <v>1030</v>
      </c>
      <c r="G6" t="s">
        <v>1031</v>
      </c>
      <c r="H6" t="s">
        <v>1032</v>
      </c>
      <c r="I6" t="s">
        <v>15</v>
      </c>
      <c r="K6" t="s">
        <v>1033</v>
      </c>
      <c r="L6" t="s">
        <v>999</v>
      </c>
      <c r="M6" t="s">
        <v>1000</v>
      </c>
      <c r="N6" t="s">
        <v>1001</v>
      </c>
      <c r="O6" t="s">
        <v>1002</v>
      </c>
      <c r="P6" t="s">
        <v>1034</v>
      </c>
      <c r="Q6" t="s">
        <v>1035</v>
      </c>
      <c r="R6" t="s">
        <v>1036</v>
      </c>
      <c r="S6" t="s">
        <v>1037</v>
      </c>
      <c r="T6" t="s">
        <v>1017</v>
      </c>
      <c r="U6" t="s">
        <v>1038</v>
      </c>
      <c r="V6">
        <v>0</v>
      </c>
      <c r="W6">
        <v>462</v>
      </c>
    </row>
    <row r="7" spans="1:25" hidden="1" x14ac:dyDescent="0.35">
      <c r="A7" t="s">
        <v>30</v>
      </c>
      <c r="B7" t="s">
        <v>31</v>
      </c>
      <c r="C7" t="s">
        <v>274</v>
      </c>
      <c r="D7" t="s">
        <v>275</v>
      </c>
      <c r="E7" t="s">
        <v>69</v>
      </c>
      <c r="F7" t="s">
        <v>276</v>
      </c>
      <c r="G7" t="s">
        <v>277</v>
      </c>
      <c r="H7" t="s">
        <v>278</v>
      </c>
      <c r="I7" t="s">
        <v>73</v>
      </c>
      <c r="J7" t="s">
        <v>1039</v>
      </c>
      <c r="K7" t="s">
        <v>998</v>
      </c>
      <c r="L7" t="s">
        <v>1040</v>
      </c>
      <c r="M7" t="s">
        <v>1041</v>
      </c>
      <c r="N7" t="s">
        <v>1042</v>
      </c>
      <c r="O7" t="s">
        <v>1042</v>
      </c>
      <c r="P7" t="s">
        <v>1043</v>
      </c>
      <c r="Q7" t="s">
        <v>1044</v>
      </c>
      <c r="R7" t="s">
        <v>1045</v>
      </c>
      <c r="S7" t="s">
        <v>1046</v>
      </c>
      <c r="V7">
        <v>0</v>
      </c>
      <c r="W7" t="s">
        <v>1047</v>
      </c>
    </row>
    <row r="8" spans="1:25" hidden="1" x14ac:dyDescent="0.35">
      <c r="A8" t="s">
        <v>30</v>
      </c>
      <c r="B8" t="s">
        <v>31</v>
      </c>
      <c r="C8" t="s">
        <v>274</v>
      </c>
      <c r="D8" t="s">
        <v>330</v>
      </c>
      <c r="E8" t="s">
        <v>78</v>
      </c>
      <c r="F8" t="s">
        <v>1048</v>
      </c>
      <c r="G8" t="s">
        <v>1049</v>
      </c>
      <c r="H8" t="s">
        <v>1050</v>
      </c>
      <c r="I8" t="s">
        <v>15</v>
      </c>
      <c r="J8" t="s">
        <v>1051</v>
      </c>
      <c r="K8" t="s">
        <v>1052</v>
      </c>
      <c r="L8" t="s">
        <v>78</v>
      </c>
      <c r="M8" t="s">
        <v>1041</v>
      </c>
      <c r="N8" t="s">
        <v>1053</v>
      </c>
      <c r="P8" t="s">
        <v>998</v>
      </c>
      <c r="Q8" t="s">
        <v>1054</v>
      </c>
      <c r="R8" t="s">
        <v>1055</v>
      </c>
      <c r="T8" t="s">
        <v>1056</v>
      </c>
      <c r="U8" t="s">
        <v>1007</v>
      </c>
      <c r="W8">
        <v>163</v>
      </c>
    </row>
    <row r="9" spans="1:25" hidden="1" x14ac:dyDescent="0.35">
      <c r="A9" t="s">
        <v>30</v>
      </c>
      <c r="B9" t="s">
        <v>31</v>
      </c>
      <c r="C9" t="s">
        <v>274</v>
      </c>
      <c r="D9" t="s">
        <v>1057</v>
      </c>
      <c r="E9" t="s">
        <v>78</v>
      </c>
      <c r="F9" t="s">
        <v>1058</v>
      </c>
      <c r="G9" t="s">
        <v>1059</v>
      </c>
      <c r="H9" t="s">
        <v>1060</v>
      </c>
      <c r="I9" t="s">
        <v>15</v>
      </c>
      <c r="J9" t="s">
        <v>1051</v>
      </c>
      <c r="K9" t="s">
        <v>1052</v>
      </c>
      <c r="L9" t="s">
        <v>78</v>
      </c>
      <c r="M9" t="s">
        <v>1041</v>
      </c>
      <c r="N9" t="s">
        <v>1053</v>
      </c>
      <c r="P9" t="s">
        <v>998</v>
      </c>
      <c r="Q9" t="s">
        <v>1054</v>
      </c>
      <c r="R9" t="s">
        <v>1061</v>
      </c>
      <c r="T9" t="s">
        <v>1056</v>
      </c>
      <c r="U9" t="s">
        <v>1007</v>
      </c>
      <c r="W9">
        <v>72</v>
      </c>
    </row>
    <row r="10" spans="1:25" hidden="1" x14ac:dyDescent="0.35">
      <c r="A10" t="s">
        <v>30</v>
      </c>
      <c r="B10" t="s">
        <v>31</v>
      </c>
      <c r="C10" t="s">
        <v>274</v>
      </c>
      <c r="D10" t="s">
        <v>337</v>
      </c>
      <c r="E10" t="s">
        <v>78</v>
      </c>
      <c r="F10" t="s">
        <v>1062</v>
      </c>
      <c r="G10" t="s">
        <v>1063</v>
      </c>
      <c r="H10" t="s">
        <v>1064</v>
      </c>
      <c r="I10" t="s">
        <v>15</v>
      </c>
      <c r="J10" t="s">
        <v>1051</v>
      </c>
      <c r="K10" t="s">
        <v>1052</v>
      </c>
      <c r="L10" t="s">
        <v>78</v>
      </c>
      <c r="M10" t="s">
        <v>1041</v>
      </c>
      <c r="N10" t="s">
        <v>1053</v>
      </c>
      <c r="P10" t="s">
        <v>998</v>
      </c>
      <c r="Q10" t="s">
        <v>1054</v>
      </c>
      <c r="R10" t="s">
        <v>1065</v>
      </c>
      <c r="T10" t="s">
        <v>1066</v>
      </c>
      <c r="U10" t="s">
        <v>1038</v>
      </c>
      <c r="W10">
        <v>188</v>
      </c>
    </row>
    <row r="11" spans="1:25" hidden="1" x14ac:dyDescent="0.35">
      <c r="A11" t="s">
        <v>30</v>
      </c>
      <c r="B11" t="s">
        <v>45</v>
      </c>
      <c r="C11" t="s">
        <v>732</v>
      </c>
      <c r="D11" t="s">
        <v>732</v>
      </c>
      <c r="E11" t="s">
        <v>78</v>
      </c>
      <c r="F11" t="s">
        <v>1067</v>
      </c>
      <c r="G11" t="s">
        <v>1068</v>
      </c>
      <c r="H11" t="s">
        <v>1069</v>
      </c>
      <c r="I11" t="s">
        <v>15</v>
      </c>
      <c r="K11" t="s">
        <v>1052</v>
      </c>
      <c r="L11" t="s">
        <v>78</v>
      </c>
      <c r="M11" t="s">
        <v>1041</v>
      </c>
      <c r="N11" t="s">
        <v>1070</v>
      </c>
      <c r="O11" t="s">
        <v>1070</v>
      </c>
      <c r="P11" t="s">
        <v>998</v>
      </c>
      <c r="Q11" t="s">
        <v>1071</v>
      </c>
      <c r="R11" t="s">
        <v>1072</v>
      </c>
      <c r="T11" t="s">
        <v>1073</v>
      </c>
      <c r="U11" t="s">
        <v>1007</v>
      </c>
      <c r="W11">
        <v>12</v>
      </c>
    </row>
    <row r="12" spans="1:25" hidden="1" x14ac:dyDescent="0.35">
      <c r="A12" t="s">
        <v>30</v>
      </c>
      <c r="B12" t="s">
        <v>45</v>
      </c>
      <c r="C12" t="s">
        <v>732</v>
      </c>
      <c r="D12" t="s">
        <v>1074</v>
      </c>
      <c r="E12" t="s">
        <v>69</v>
      </c>
      <c r="F12" t="s">
        <v>739</v>
      </c>
      <c r="G12" t="s">
        <v>1075</v>
      </c>
      <c r="H12" t="s">
        <v>1074</v>
      </c>
      <c r="I12" t="s">
        <v>15</v>
      </c>
      <c r="J12" t="s">
        <v>1076</v>
      </c>
      <c r="K12" t="s">
        <v>998</v>
      </c>
      <c r="L12" t="s">
        <v>1040</v>
      </c>
      <c r="M12" t="s">
        <v>1041</v>
      </c>
      <c r="N12" t="s">
        <v>1077</v>
      </c>
      <c r="O12" t="s">
        <v>1078</v>
      </c>
      <c r="P12" t="s">
        <v>1013</v>
      </c>
      <c r="Q12" t="s">
        <v>1079</v>
      </c>
      <c r="R12" t="s">
        <v>1080</v>
      </c>
      <c r="S12" t="s">
        <v>1081</v>
      </c>
      <c r="T12" t="s">
        <v>1082</v>
      </c>
      <c r="U12" t="s">
        <v>1007</v>
      </c>
      <c r="V12">
        <v>0</v>
      </c>
      <c r="W12">
        <v>36</v>
      </c>
    </row>
    <row r="13" spans="1:25" hidden="1" x14ac:dyDescent="0.35">
      <c r="A13" t="s">
        <v>30</v>
      </c>
      <c r="B13" t="s">
        <v>45</v>
      </c>
      <c r="C13" t="s">
        <v>732</v>
      </c>
      <c r="D13" t="s">
        <v>752</v>
      </c>
      <c r="E13" t="s">
        <v>69</v>
      </c>
      <c r="F13" t="s">
        <v>1083</v>
      </c>
      <c r="G13" t="s">
        <v>1084</v>
      </c>
      <c r="H13" t="s">
        <v>755</v>
      </c>
      <c r="I13" t="s">
        <v>63</v>
      </c>
      <c r="J13" t="s">
        <v>1085</v>
      </c>
      <c r="K13" t="s">
        <v>1052</v>
      </c>
      <c r="L13" t="s">
        <v>1040</v>
      </c>
      <c r="M13" t="s">
        <v>1041</v>
      </c>
      <c r="N13" t="s">
        <v>1086</v>
      </c>
      <c r="O13" t="s">
        <v>1087</v>
      </c>
      <c r="P13" t="s">
        <v>1034</v>
      </c>
      <c r="Q13" t="s">
        <v>1088</v>
      </c>
      <c r="R13" t="s">
        <v>1089</v>
      </c>
      <c r="U13" t="s">
        <v>1007</v>
      </c>
    </row>
    <row r="14" spans="1:25" hidden="1" x14ac:dyDescent="0.35">
      <c r="A14" t="s">
        <v>30</v>
      </c>
      <c r="B14" t="s">
        <v>32</v>
      </c>
      <c r="C14" t="s">
        <v>411</v>
      </c>
      <c r="D14" t="s">
        <v>411</v>
      </c>
      <c r="E14" t="s">
        <v>78</v>
      </c>
      <c r="F14" t="s">
        <v>419</v>
      </c>
      <c r="G14" t="s">
        <v>1090</v>
      </c>
      <c r="H14" t="s">
        <v>1091</v>
      </c>
      <c r="I14" t="s">
        <v>15</v>
      </c>
      <c r="J14" t="s">
        <v>1092</v>
      </c>
      <c r="K14" t="s">
        <v>998</v>
      </c>
      <c r="L14" t="s">
        <v>78</v>
      </c>
      <c r="M14" t="s">
        <v>1041</v>
      </c>
      <c r="N14" t="s">
        <v>1093</v>
      </c>
      <c r="O14" t="s">
        <v>1094</v>
      </c>
      <c r="P14" t="s">
        <v>1095</v>
      </c>
      <c r="Q14" t="s">
        <v>1096</v>
      </c>
      <c r="R14" t="s">
        <v>1097</v>
      </c>
      <c r="S14" t="s">
        <v>1098</v>
      </c>
      <c r="T14" t="s">
        <v>1073</v>
      </c>
      <c r="U14" t="s">
        <v>1024</v>
      </c>
      <c r="V14">
        <v>0</v>
      </c>
      <c r="W14">
        <v>46</v>
      </c>
    </row>
    <row r="15" spans="1:25" hidden="1" x14ac:dyDescent="0.35">
      <c r="A15" t="s">
        <v>30</v>
      </c>
      <c r="B15" t="s">
        <v>32</v>
      </c>
      <c r="C15" t="s">
        <v>411</v>
      </c>
      <c r="D15" t="s">
        <v>411</v>
      </c>
      <c r="E15" t="s">
        <v>69</v>
      </c>
      <c r="F15" t="s">
        <v>428</v>
      </c>
      <c r="G15" t="s">
        <v>1099</v>
      </c>
      <c r="H15" t="s">
        <v>1100</v>
      </c>
      <c r="I15" t="s">
        <v>63</v>
      </c>
      <c r="K15" t="s">
        <v>1052</v>
      </c>
      <c r="L15" t="s">
        <v>1040</v>
      </c>
      <c r="M15" t="s">
        <v>1041</v>
      </c>
      <c r="N15" t="s">
        <v>1101</v>
      </c>
      <c r="P15" t="s">
        <v>1034</v>
      </c>
      <c r="Q15" t="s">
        <v>1102</v>
      </c>
      <c r="T15" t="s">
        <v>1103</v>
      </c>
      <c r="U15" t="s">
        <v>1104</v>
      </c>
    </row>
    <row r="16" spans="1:25" hidden="1" x14ac:dyDescent="0.35">
      <c r="A16" t="s">
        <v>30</v>
      </c>
      <c r="B16" t="s">
        <v>126</v>
      </c>
      <c r="C16" t="s">
        <v>127</v>
      </c>
      <c r="D16" t="s">
        <v>127</v>
      </c>
      <c r="E16" t="s">
        <v>128</v>
      </c>
      <c r="F16" t="s">
        <v>129</v>
      </c>
      <c r="G16" t="s">
        <v>130</v>
      </c>
      <c r="H16" t="s">
        <v>131</v>
      </c>
      <c r="I16" t="s">
        <v>63</v>
      </c>
      <c r="K16" t="s">
        <v>1052</v>
      </c>
      <c r="L16" t="s">
        <v>128</v>
      </c>
      <c r="M16" t="s">
        <v>1041</v>
      </c>
      <c r="N16" t="s">
        <v>1105</v>
      </c>
      <c r="O16" t="s">
        <v>1105</v>
      </c>
      <c r="P16" t="s">
        <v>998</v>
      </c>
      <c r="Q16" t="s">
        <v>1106</v>
      </c>
      <c r="T16" t="s">
        <v>1107</v>
      </c>
      <c r="U16" t="s">
        <v>1104</v>
      </c>
    </row>
    <row r="17" spans="1:23" hidden="1" x14ac:dyDescent="0.35">
      <c r="A17" t="s">
        <v>30</v>
      </c>
      <c r="B17" t="s">
        <v>36</v>
      </c>
      <c r="C17" t="s">
        <v>470</v>
      </c>
      <c r="D17" t="s">
        <v>470</v>
      </c>
      <c r="E17" t="s">
        <v>78</v>
      </c>
      <c r="F17" t="s">
        <v>552</v>
      </c>
      <c r="G17" t="s">
        <v>1108</v>
      </c>
      <c r="H17" t="s">
        <v>1109</v>
      </c>
      <c r="I17" t="s">
        <v>63</v>
      </c>
      <c r="K17" t="s">
        <v>1052</v>
      </c>
      <c r="L17" t="s">
        <v>78</v>
      </c>
      <c r="M17" t="s">
        <v>1041</v>
      </c>
      <c r="N17" t="s">
        <v>1105</v>
      </c>
      <c r="P17" t="s">
        <v>998</v>
      </c>
      <c r="Q17" t="s">
        <v>1110</v>
      </c>
      <c r="R17" t="s">
        <v>1111</v>
      </c>
      <c r="T17" t="s">
        <v>1112</v>
      </c>
      <c r="U17" t="s">
        <v>1104</v>
      </c>
    </row>
    <row r="18" spans="1:23" hidden="1" x14ac:dyDescent="0.35">
      <c r="A18" t="s">
        <v>30</v>
      </c>
      <c r="B18" t="s">
        <v>36</v>
      </c>
      <c r="C18" t="s">
        <v>470</v>
      </c>
      <c r="D18" t="s">
        <v>470</v>
      </c>
      <c r="E18" t="s">
        <v>78</v>
      </c>
      <c r="F18" t="s">
        <v>1113</v>
      </c>
      <c r="G18" t="s">
        <v>1114</v>
      </c>
      <c r="H18" t="s">
        <v>1115</v>
      </c>
      <c r="I18" t="s">
        <v>15</v>
      </c>
      <c r="K18" t="s">
        <v>1052</v>
      </c>
      <c r="L18" t="s">
        <v>78</v>
      </c>
      <c r="M18" t="s">
        <v>1000</v>
      </c>
      <c r="N18" t="s">
        <v>1105</v>
      </c>
      <c r="O18" t="s">
        <v>1116</v>
      </c>
      <c r="P18" t="s">
        <v>998</v>
      </c>
      <c r="Q18" t="s">
        <v>1110</v>
      </c>
      <c r="R18" t="s">
        <v>1117</v>
      </c>
      <c r="T18" t="s">
        <v>1118</v>
      </c>
      <c r="U18" t="s">
        <v>1104</v>
      </c>
      <c r="W18">
        <v>86</v>
      </c>
    </row>
    <row r="19" spans="1:23" hidden="1" x14ac:dyDescent="0.35">
      <c r="A19" t="s">
        <v>30</v>
      </c>
      <c r="B19" t="s">
        <v>36</v>
      </c>
      <c r="C19" t="s">
        <v>470</v>
      </c>
      <c r="D19" t="s">
        <v>470</v>
      </c>
      <c r="E19" t="s">
        <v>69</v>
      </c>
      <c r="F19" t="s">
        <v>471</v>
      </c>
      <c r="G19" t="s">
        <v>1119</v>
      </c>
      <c r="H19" t="s">
        <v>1120</v>
      </c>
      <c r="I19" t="s">
        <v>15</v>
      </c>
      <c r="K19" t="s">
        <v>1052</v>
      </c>
      <c r="L19" t="s">
        <v>1040</v>
      </c>
      <c r="M19" t="s">
        <v>1041</v>
      </c>
      <c r="N19" t="s">
        <v>1105</v>
      </c>
      <c r="O19" t="s">
        <v>1116</v>
      </c>
      <c r="P19" t="s">
        <v>998</v>
      </c>
      <c r="Q19" t="s">
        <v>1121</v>
      </c>
      <c r="T19" t="s">
        <v>1103</v>
      </c>
      <c r="U19" t="s">
        <v>1122</v>
      </c>
      <c r="W19">
        <v>86</v>
      </c>
    </row>
    <row r="20" spans="1:23" hidden="1" x14ac:dyDescent="0.35">
      <c r="A20" t="s">
        <v>30</v>
      </c>
      <c r="B20" t="s">
        <v>43</v>
      </c>
      <c r="C20" t="s">
        <v>692</v>
      </c>
      <c r="D20" t="s">
        <v>692</v>
      </c>
      <c r="E20" t="s">
        <v>78</v>
      </c>
      <c r="F20" t="s">
        <v>705</v>
      </c>
      <c r="G20" t="s">
        <v>1123</v>
      </c>
      <c r="H20" t="s">
        <v>1124</v>
      </c>
      <c r="I20" t="s">
        <v>63</v>
      </c>
      <c r="J20" t="s">
        <v>1125</v>
      </c>
      <c r="K20" t="s">
        <v>1052</v>
      </c>
      <c r="L20" t="s">
        <v>78</v>
      </c>
      <c r="M20" t="s">
        <v>1041</v>
      </c>
      <c r="N20" t="s">
        <v>1126</v>
      </c>
      <c r="O20" t="s">
        <v>1126</v>
      </c>
      <c r="P20" t="s">
        <v>1127</v>
      </c>
      <c r="Q20" t="s">
        <v>1128</v>
      </c>
      <c r="T20" t="s">
        <v>1129</v>
      </c>
      <c r="U20" t="s">
        <v>1104</v>
      </c>
    </row>
    <row r="21" spans="1:23" hidden="1" x14ac:dyDescent="0.35">
      <c r="A21" t="s">
        <v>30</v>
      </c>
      <c r="B21" t="s">
        <v>43</v>
      </c>
      <c r="C21" t="s">
        <v>692</v>
      </c>
      <c r="D21" t="s">
        <v>692</v>
      </c>
      <c r="E21" t="s">
        <v>69</v>
      </c>
      <c r="F21" t="s">
        <v>693</v>
      </c>
      <c r="G21" t="s">
        <v>694</v>
      </c>
      <c r="H21" t="s">
        <v>1130</v>
      </c>
      <c r="I21" t="s">
        <v>63</v>
      </c>
      <c r="K21" t="s">
        <v>1052</v>
      </c>
      <c r="L21" t="s">
        <v>1040</v>
      </c>
      <c r="M21" t="s">
        <v>1041</v>
      </c>
      <c r="N21" t="s">
        <v>1126</v>
      </c>
      <c r="O21" t="s">
        <v>1126</v>
      </c>
      <c r="P21" t="s">
        <v>998</v>
      </c>
    </row>
    <row r="22" spans="1:23" hidden="1" x14ac:dyDescent="0.35">
      <c r="A22" t="s">
        <v>30</v>
      </c>
      <c r="B22" t="s">
        <v>43</v>
      </c>
      <c r="C22" t="s">
        <v>700</v>
      </c>
      <c r="D22" t="s">
        <v>700</v>
      </c>
      <c r="E22" t="s">
        <v>69</v>
      </c>
      <c r="F22" t="s">
        <v>701</v>
      </c>
      <c r="G22" t="s">
        <v>1131</v>
      </c>
      <c r="H22" t="s">
        <v>703</v>
      </c>
      <c r="I22" t="s">
        <v>16</v>
      </c>
      <c r="K22" t="s">
        <v>1052</v>
      </c>
      <c r="L22" t="s">
        <v>1040</v>
      </c>
      <c r="M22" t="s">
        <v>1041</v>
      </c>
      <c r="N22" t="s">
        <v>1126</v>
      </c>
      <c r="O22" t="s">
        <v>1126</v>
      </c>
      <c r="P22" t="s">
        <v>998</v>
      </c>
      <c r="T22" t="s">
        <v>1132</v>
      </c>
      <c r="U22" t="s">
        <v>1007</v>
      </c>
      <c r="V22">
        <v>0</v>
      </c>
    </row>
    <row r="23" spans="1:23" hidden="1" x14ac:dyDescent="0.35">
      <c r="A23" t="s">
        <v>30</v>
      </c>
      <c r="B23" t="s">
        <v>38</v>
      </c>
      <c r="C23" t="s">
        <v>886</v>
      </c>
      <c r="D23" t="s">
        <v>886</v>
      </c>
      <c r="E23" t="s">
        <v>887</v>
      </c>
      <c r="F23" t="s">
        <v>888</v>
      </c>
      <c r="G23" t="s">
        <v>889</v>
      </c>
      <c r="H23" t="s">
        <v>890</v>
      </c>
      <c r="I23" t="s">
        <v>16</v>
      </c>
      <c r="K23" t="s">
        <v>1052</v>
      </c>
      <c r="L23" t="s">
        <v>1040</v>
      </c>
      <c r="M23" t="s">
        <v>1041</v>
      </c>
      <c r="N23" t="s">
        <v>1133</v>
      </c>
      <c r="P23" t="s">
        <v>998</v>
      </c>
      <c r="Q23" t="s">
        <v>1134</v>
      </c>
      <c r="T23" t="s">
        <v>1135</v>
      </c>
      <c r="U23" t="s">
        <v>1007</v>
      </c>
    </row>
    <row r="24" spans="1:23" hidden="1" x14ac:dyDescent="0.35">
      <c r="A24" t="s">
        <v>30</v>
      </c>
      <c r="B24" t="s">
        <v>41</v>
      </c>
      <c r="C24" t="s">
        <v>657</v>
      </c>
      <c r="D24" t="s">
        <v>657</v>
      </c>
      <c r="E24" t="s">
        <v>663</v>
      </c>
      <c r="F24" t="s">
        <v>1136</v>
      </c>
      <c r="G24" t="s">
        <v>1137</v>
      </c>
      <c r="H24" t="s">
        <v>1138</v>
      </c>
      <c r="I24" t="s">
        <v>16</v>
      </c>
      <c r="K24" t="s">
        <v>1052</v>
      </c>
      <c r="L24" t="s">
        <v>663</v>
      </c>
      <c r="M24" t="s">
        <v>1041</v>
      </c>
      <c r="N24" t="s">
        <v>1139</v>
      </c>
      <c r="O24" t="s">
        <v>1139</v>
      </c>
      <c r="P24" t="s">
        <v>998</v>
      </c>
      <c r="R24" t="s">
        <v>1140</v>
      </c>
      <c r="U24" t="s">
        <v>1007</v>
      </c>
    </row>
    <row r="25" spans="1:23" hidden="1" x14ac:dyDescent="0.35">
      <c r="A25" t="s">
        <v>30</v>
      </c>
      <c r="B25" t="s">
        <v>41</v>
      </c>
      <c r="C25" t="s">
        <v>657</v>
      </c>
      <c r="D25" t="s">
        <v>657</v>
      </c>
      <c r="E25" t="s">
        <v>69</v>
      </c>
      <c r="F25" t="s">
        <v>658</v>
      </c>
      <c r="G25" t="s">
        <v>1141</v>
      </c>
      <c r="H25" t="s">
        <v>1142</v>
      </c>
      <c r="I25" t="s">
        <v>16</v>
      </c>
      <c r="K25" t="s">
        <v>1052</v>
      </c>
      <c r="L25" t="s">
        <v>1040</v>
      </c>
      <c r="M25" t="s">
        <v>1041</v>
      </c>
      <c r="N25" t="s">
        <v>1139</v>
      </c>
      <c r="O25" t="s">
        <v>1139</v>
      </c>
      <c r="P25" t="s">
        <v>998</v>
      </c>
    </row>
    <row r="26" spans="1:23" hidden="1" x14ac:dyDescent="0.35">
      <c r="A26" t="s">
        <v>30</v>
      </c>
      <c r="B26" t="s">
        <v>39</v>
      </c>
      <c r="C26" t="s">
        <v>821</v>
      </c>
      <c r="E26" t="s">
        <v>822</v>
      </c>
      <c r="F26" t="s">
        <v>1136</v>
      </c>
      <c r="H26" t="s">
        <v>824</v>
      </c>
      <c r="I26" t="s">
        <v>16</v>
      </c>
      <c r="J26" t="s">
        <v>822</v>
      </c>
      <c r="K26" t="s">
        <v>1143</v>
      </c>
    </row>
    <row r="27" spans="1:23" hidden="1" x14ac:dyDescent="0.35">
      <c r="A27" t="s">
        <v>30</v>
      </c>
      <c r="B27" t="s">
        <v>45</v>
      </c>
      <c r="C27" t="s">
        <v>744</v>
      </c>
      <c r="D27" t="s">
        <v>745</v>
      </c>
      <c r="E27" t="s">
        <v>746</v>
      </c>
      <c r="F27" t="s">
        <v>1136</v>
      </c>
      <c r="G27" t="s">
        <v>1144</v>
      </c>
      <c r="H27" t="s">
        <v>748</v>
      </c>
      <c r="I27" t="s">
        <v>16</v>
      </c>
      <c r="J27" t="s">
        <v>746</v>
      </c>
      <c r="K27" t="s">
        <v>1143</v>
      </c>
    </row>
    <row r="28" spans="1:23" hidden="1" x14ac:dyDescent="0.35">
      <c r="A28" t="s">
        <v>30</v>
      </c>
      <c r="B28" t="s">
        <v>36</v>
      </c>
      <c r="C28" t="s">
        <v>470</v>
      </c>
      <c r="D28" t="s">
        <v>470</v>
      </c>
      <c r="E28" t="s">
        <v>207</v>
      </c>
      <c r="F28" t="s">
        <v>1136</v>
      </c>
      <c r="G28" t="s">
        <v>1145</v>
      </c>
      <c r="H28" t="s">
        <v>1146</v>
      </c>
      <c r="I28" t="s">
        <v>16</v>
      </c>
      <c r="K28" t="s">
        <v>1052</v>
      </c>
      <c r="W28">
        <v>60</v>
      </c>
    </row>
    <row r="29" spans="1:23" hidden="1" x14ac:dyDescent="0.35">
      <c r="A29" t="s">
        <v>30</v>
      </c>
      <c r="B29" t="s">
        <v>599</v>
      </c>
      <c r="C29" t="s">
        <v>600</v>
      </c>
      <c r="D29" t="s">
        <v>600</v>
      </c>
      <c r="E29" t="s">
        <v>601</v>
      </c>
      <c r="F29" t="s">
        <v>1136</v>
      </c>
      <c r="H29" t="s">
        <v>604</v>
      </c>
      <c r="I29" t="s">
        <v>63</v>
      </c>
      <c r="K29" t="s">
        <v>1052</v>
      </c>
      <c r="L29" t="s">
        <v>601</v>
      </c>
      <c r="M29" t="s">
        <v>1041</v>
      </c>
      <c r="N29" t="s">
        <v>1147</v>
      </c>
      <c r="P29" t="s">
        <v>998</v>
      </c>
      <c r="S29" t="s">
        <v>1148</v>
      </c>
      <c r="T29" t="s">
        <v>1149</v>
      </c>
      <c r="U29" t="s">
        <v>1007</v>
      </c>
      <c r="V29" t="s">
        <v>1136</v>
      </c>
      <c r="W29" t="s">
        <v>1150</v>
      </c>
    </row>
    <row r="30" spans="1:23" hidden="1" x14ac:dyDescent="0.35">
      <c r="A30" t="s">
        <v>30</v>
      </c>
      <c r="B30" t="s">
        <v>43</v>
      </c>
      <c r="C30" t="s">
        <v>692</v>
      </c>
      <c r="D30" t="s">
        <v>692</v>
      </c>
      <c r="E30" t="s">
        <v>696</v>
      </c>
      <c r="F30" t="s">
        <v>697</v>
      </c>
      <c r="G30" t="s">
        <v>1151</v>
      </c>
      <c r="H30" t="s">
        <v>699</v>
      </c>
      <c r="I30" t="s">
        <v>73</v>
      </c>
      <c r="K30" t="s">
        <v>1052</v>
      </c>
      <c r="L30" t="s">
        <v>1152</v>
      </c>
      <c r="O30" t="s">
        <v>1153</v>
      </c>
      <c r="P30" t="s">
        <v>998</v>
      </c>
      <c r="Q30" t="s">
        <v>1154</v>
      </c>
      <c r="R30" t="s">
        <v>1155</v>
      </c>
      <c r="S30" t="s">
        <v>1156</v>
      </c>
      <c r="T30" t="s">
        <v>1132</v>
      </c>
      <c r="U30" t="s">
        <v>1007</v>
      </c>
      <c r="W30" t="s">
        <v>1157</v>
      </c>
    </row>
    <row r="31" spans="1:23" hidden="1" x14ac:dyDescent="0.35">
      <c r="A31" t="s">
        <v>30</v>
      </c>
      <c r="B31" t="s">
        <v>45</v>
      </c>
      <c r="C31" t="s">
        <v>732</v>
      </c>
      <c r="D31" t="s">
        <v>732</v>
      </c>
      <c r="E31" t="s">
        <v>69</v>
      </c>
      <c r="F31" t="s">
        <v>733</v>
      </c>
      <c r="G31" t="s">
        <v>734</v>
      </c>
      <c r="H31" t="s">
        <v>735</v>
      </c>
      <c r="I31" t="s">
        <v>73</v>
      </c>
      <c r="K31" t="s">
        <v>1052</v>
      </c>
      <c r="L31" t="s">
        <v>1040</v>
      </c>
      <c r="O31" t="s">
        <v>1078</v>
      </c>
      <c r="P31" t="s">
        <v>998</v>
      </c>
      <c r="Q31" t="s">
        <v>1034</v>
      </c>
      <c r="R31" t="s">
        <v>1158</v>
      </c>
      <c r="S31" t="s">
        <v>1159</v>
      </c>
      <c r="T31" t="s">
        <v>1132</v>
      </c>
      <c r="U31" t="s">
        <v>1132</v>
      </c>
      <c r="W31" t="s">
        <v>1160</v>
      </c>
    </row>
    <row r="32" spans="1:23" hidden="1" x14ac:dyDescent="0.35">
      <c r="A32" t="s">
        <v>30</v>
      </c>
      <c r="B32" t="s">
        <v>45</v>
      </c>
      <c r="C32" t="s">
        <v>732</v>
      </c>
      <c r="D32" t="s">
        <v>732</v>
      </c>
      <c r="E32" t="s">
        <v>78</v>
      </c>
      <c r="F32" t="s">
        <v>1136</v>
      </c>
      <c r="G32" t="s">
        <v>1161</v>
      </c>
      <c r="H32" t="s">
        <v>1162</v>
      </c>
      <c r="I32" t="s">
        <v>16</v>
      </c>
      <c r="K32" t="s">
        <v>1052</v>
      </c>
      <c r="L32" t="s">
        <v>78</v>
      </c>
      <c r="M32" t="s">
        <v>1041</v>
      </c>
      <c r="N32" t="s">
        <v>1070</v>
      </c>
      <c r="O32" t="s">
        <v>1070</v>
      </c>
      <c r="P32" t="s">
        <v>998</v>
      </c>
      <c r="Q32" t="s">
        <v>1071</v>
      </c>
      <c r="R32" t="s">
        <v>1163</v>
      </c>
      <c r="T32" t="s">
        <v>1073</v>
      </c>
      <c r="U32" t="s">
        <v>1024</v>
      </c>
    </row>
    <row r="33" spans="1:23" hidden="1" x14ac:dyDescent="0.35">
      <c r="A33" t="s">
        <v>30</v>
      </c>
      <c r="B33" t="s">
        <v>45</v>
      </c>
      <c r="C33" t="s">
        <v>732</v>
      </c>
      <c r="D33" t="s">
        <v>732</v>
      </c>
      <c r="E33" t="s">
        <v>78</v>
      </c>
      <c r="F33" t="s">
        <v>1136</v>
      </c>
      <c r="G33" t="s">
        <v>1164</v>
      </c>
      <c r="H33" t="s">
        <v>1165</v>
      </c>
      <c r="I33" t="s">
        <v>15</v>
      </c>
      <c r="K33" t="s">
        <v>1052</v>
      </c>
      <c r="L33" t="s">
        <v>78</v>
      </c>
      <c r="M33" t="s">
        <v>1041</v>
      </c>
      <c r="N33" t="s">
        <v>1070</v>
      </c>
      <c r="O33" t="s">
        <v>1070</v>
      </c>
      <c r="P33" t="s">
        <v>998</v>
      </c>
      <c r="Q33" t="s">
        <v>1071</v>
      </c>
      <c r="R33" t="s">
        <v>1166</v>
      </c>
      <c r="T33" t="s">
        <v>1073</v>
      </c>
      <c r="U33" t="s">
        <v>1024</v>
      </c>
      <c r="V33" t="s">
        <v>1167</v>
      </c>
      <c r="W33">
        <v>7</v>
      </c>
    </row>
    <row r="34" spans="1:23" hidden="1" x14ac:dyDescent="0.35">
      <c r="A34" t="s">
        <v>30</v>
      </c>
      <c r="B34" t="s">
        <v>45</v>
      </c>
      <c r="C34" t="s">
        <v>732</v>
      </c>
      <c r="D34" t="s">
        <v>732</v>
      </c>
      <c r="E34" t="s">
        <v>78</v>
      </c>
      <c r="F34" t="s">
        <v>1136</v>
      </c>
      <c r="G34" t="s">
        <v>1168</v>
      </c>
      <c r="H34" t="s">
        <v>1169</v>
      </c>
      <c r="I34" t="s">
        <v>16</v>
      </c>
      <c r="K34" t="s">
        <v>1052</v>
      </c>
      <c r="L34" t="s">
        <v>78</v>
      </c>
      <c r="M34" t="s">
        <v>1041</v>
      </c>
      <c r="N34" t="s">
        <v>1070</v>
      </c>
      <c r="O34" t="s">
        <v>1070</v>
      </c>
      <c r="P34" t="s">
        <v>998</v>
      </c>
      <c r="Q34" t="s">
        <v>1071</v>
      </c>
      <c r="R34" t="s">
        <v>1170</v>
      </c>
      <c r="T34" t="s">
        <v>1073</v>
      </c>
      <c r="U34" t="s">
        <v>1024</v>
      </c>
    </row>
    <row r="35" spans="1:23" hidden="1" x14ac:dyDescent="0.35">
      <c r="A35" t="s">
        <v>30</v>
      </c>
      <c r="B35" t="s">
        <v>32</v>
      </c>
      <c r="C35" t="s">
        <v>411</v>
      </c>
      <c r="D35" t="s">
        <v>411</v>
      </c>
      <c r="E35" t="s">
        <v>78</v>
      </c>
      <c r="F35" t="s">
        <v>1136</v>
      </c>
      <c r="G35" t="s">
        <v>1171</v>
      </c>
      <c r="H35" t="s">
        <v>1172</v>
      </c>
      <c r="I35" t="s">
        <v>16</v>
      </c>
      <c r="K35" t="s">
        <v>1052</v>
      </c>
      <c r="L35" t="s">
        <v>78</v>
      </c>
      <c r="M35" t="s">
        <v>1041</v>
      </c>
      <c r="N35" t="s">
        <v>1101</v>
      </c>
      <c r="O35" t="s">
        <v>1101</v>
      </c>
      <c r="P35" t="s">
        <v>998</v>
      </c>
      <c r="Q35" t="s">
        <v>1173</v>
      </c>
      <c r="R35" t="s">
        <v>1174</v>
      </c>
      <c r="T35" t="s">
        <v>1073</v>
      </c>
      <c r="U35" t="s">
        <v>1024</v>
      </c>
    </row>
    <row r="36" spans="1:23" hidden="1" x14ac:dyDescent="0.35">
      <c r="A36" t="s">
        <v>30</v>
      </c>
      <c r="B36" t="s">
        <v>32</v>
      </c>
      <c r="C36" t="s">
        <v>411</v>
      </c>
      <c r="D36" t="s">
        <v>411</v>
      </c>
      <c r="E36" t="s">
        <v>78</v>
      </c>
      <c r="F36" t="s">
        <v>1136</v>
      </c>
      <c r="G36" t="s">
        <v>1175</v>
      </c>
      <c r="H36" t="s">
        <v>1176</v>
      </c>
      <c r="I36" t="s">
        <v>16</v>
      </c>
      <c r="K36" t="s">
        <v>1052</v>
      </c>
      <c r="L36" t="s">
        <v>78</v>
      </c>
      <c r="M36" t="s">
        <v>1041</v>
      </c>
      <c r="N36" t="s">
        <v>1101</v>
      </c>
      <c r="O36" t="s">
        <v>1101</v>
      </c>
      <c r="P36" t="s">
        <v>998</v>
      </c>
      <c r="Q36" t="s">
        <v>1173</v>
      </c>
      <c r="R36" t="s">
        <v>1177</v>
      </c>
      <c r="T36" t="s">
        <v>1073</v>
      </c>
      <c r="U36" t="s">
        <v>1024</v>
      </c>
    </row>
    <row r="37" spans="1:23" hidden="1" x14ac:dyDescent="0.35">
      <c r="A37" t="s">
        <v>30</v>
      </c>
      <c r="B37" t="s">
        <v>32</v>
      </c>
      <c r="C37" t="s">
        <v>411</v>
      </c>
      <c r="D37" t="s">
        <v>411</v>
      </c>
      <c r="E37" t="s">
        <v>78</v>
      </c>
      <c r="F37" t="s">
        <v>1136</v>
      </c>
      <c r="G37" t="s">
        <v>1178</v>
      </c>
      <c r="H37" t="s">
        <v>1179</v>
      </c>
      <c r="I37" t="s">
        <v>16</v>
      </c>
      <c r="K37" t="s">
        <v>1052</v>
      </c>
      <c r="L37" t="s">
        <v>78</v>
      </c>
      <c r="M37" t="s">
        <v>1041</v>
      </c>
      <c r="N37" t="s">
        <v>1101</v>
      </c>
      <c r="O37" t="s">
        <v>1101</v>
      </c>
      <c r="P37" t="s">
        <v>998</v>
      </c>
      <c r="Q37" t="s">
        <v>1173</v>
      </c>
      <c r="R37" t="s">
        <v>1180</v>
      </c>
      <c r="T37" t="s">
        <v>1073</v>
      </c>
      <c r="U37" t="s">
        <v>1024</v>
      </c>
    </row>
    <row r="38" spans="1:23" hidden="1" x14ac:dyDescent="0.35">
      <c r="A38" t="s">
        <v>30</v>
      </c>
      <c r="B38" t="s">
        <v>32</v>
      </c>
      <c r="C38" t="s">
        <v>411</v>
      </c>
      <c r="D38" t="s">
        <v>411</v>
      </c>
      <c r="E38" t="s">
        <v>78</v>
      </c>
      <c r="F38" t="s">
        <v>1136</v>
      </c>
      <c r="G38" t="s">
        <v>1181</v>
      </c>
      <c r="H38" t="s">
        <v>1182</v>
      </c>
      <c r="I38" t="s">
        <v>16</v>
      </c>
      <c r="K38" t="s">
        <v>1052</v>
      </c>
      <c r="L38" t="s">
        <v>78</v>
      </c>
      <c r="M38" t="s">
        <v>1041</v>
      </c>
      <c r="N38" t="s">
        <v>1101</v>
      </c>
      <c r="O38" t="s">
        <v>1101</v>
      </c>
      <c r="P38" t="s">
        <v>998</v>
      </c>
      <c r="Q38" t="s">
        <v>1173</v>
      </c>
      <c r="R38" t="s">
        <v>1180</v>
      </c>
      <c r="T38" t="s">
        <v>1073</v>
      </c>
      <c r="U38" t="s">
        <v>1024</v>
      </c>
    </row>
    <row r="39" spans="1:23" hidden="1" x14ac:dyDescent="0.35">
      <c r="A39" t="s">
        <v>30</v>
      </c>
      <c r="B39" t="s">
        <v>32</v>
      </c>
      <c r="C39" t="s">
        <v>429</v>
      </c>
      <c r="D39" t="s">
        <v>429</v>
      </c>
      <c r="E39" t="s">
        <v>78</v>
      </c>
      <c r="F39" t="s">
        <v>1136</v>
      </c>
      <c r="G39" t="s">
        <v>1183</v>
      </c>
      <c r="H39" t="s">
        <v>1184</v>
      </c>
      <c r="I39" t="s">
        <v>16</v>
      </c>
      <c r="K39" t="s">
        <v>1052</v>
      </c>
      <c r="L39" t="s">
        <v>78</v>
      </c>
      <c r="M39" t="s">
        <v>1041</v>
      </c>
      <c r="N39" t="s">
        <v>1101</v>
      </c>
      <c r="O39" t="s">
        <v>1101</v>
      </c>
      <c r="P39" t="s">
        <v>998</v>
      </c>
      <c r="Q39" t="s">
        <v>1173</v>
      </c>
      <c r="R39" t="s">
        <v>1185</v>
      </c>
      <c r="T39" t="s">
        <v>1073</v>
      </c>
      <c r="U39" t="s">
        <v>1024</v>
      </c>
    </row>
    <row r="40" spans="1:23" hidden="1" x14ac:dyDescent="0.35">
      <c r="A40" t="s">
        <v>30</v>
      </c>
      <c r="B40" t="s">
        <v>36</v>
      </c>
      <c r="C40" t="s">
        <v>470</v>
      </c>
      <c r="D40" t="s">
        <v>470</v>
      </c>
      <c r="E40" t="s">
        <v>78</v>
      </c>
      <c r="F40" t="s">
        <v>1136</v>
      </c>
      <c r="G40" t="s">
        <v>1186</v>
      </c>
      <c r="H40" t="s">
        <v>1187</v>
      </c>
      <c r="I40" t="s">
        <v>63</v>
      </c>
      <c r="K40" t="s">
        <v>1052</v>
      </c>
      <c r="L40" t="s">
        <v>78</v>
      </c>
      <c r="M40" t="s">
        <v>1041</v>
      </c>
      <c r="N40" t="s">
        <v>1105</v>
      </c>
      <c r="O40" t="s">
        <v>1116</v>
      </c>
      <c r="P40" t="s">
        <v>998</v>
      </c>
      <c r="Q40" t="s">
        <v>1110</v>
      </c>
      <c r="R40" t="s">
        <v>1188</v>
      </c>
      <c r="T40" t="s">
        <v>1112</v>
      </c>
      <c r="U40" t="s">
        <v>1122</v>
      </c>
    </row>
    <row r="41" spans="1:23" hidden="1" x14ac:dyDescent="0.35">
      <c r="A41" t="s">
        <v>30</v>
      </c>
      <c r="B41" t="s">
        <v>36</v>
      </c>
      <c r="C41" t="s">
        <v>470</v>
      </c>
      <c r="D41" t="s">
        <v>470</v>
      </c>
      <c r="E41" t="s">
        <v>78</v>
      </c>
      <c r="F41" t="s">
        <v>1136</v>
      </c>
      <c r="G41" t="s">
        <v>1189</v>
      </c>
      <c r="H41" t="s">
        <v>1190</v>
      </c>
      <c r="I41" t="s">
        <v>16</v>
      </c>
      <c r="K41" t="s">
        <v>1052</v>
      </c>
      <c r="L41" t="s">
        <v>78</v>
      </c>
      <c r="M41" t="s">
        <v>1041</v>
      </c>
      <c r="N41" t="s">
        <v>1105</v>
      </c>
      <c r="O41" t="s">
        <v>1116</v>
      </c>
      <c r="P41" t="s">
        <v>998</v>
      </c>
      <c r="Q41" t="s">
        <v>1110</v>
      </c>
      <c r="R41" t="s">
        <v>1191</v>
      </c>
      <c r="T41" t="s">
        <v>1112</v>
      </c>
      <c r="U41" t="s">
        <v>1122</v>
      </c>
    </row>
    <row r="42" spans="1:23" hidden="1" x14ac:dyDescent="0.35">
      <c r="A42" t="s">
        <v>30</v>
      </c>
      <c r="B42" t="s">
        <v>36</v>
      </c>
      <c r="C42" t="s">
        <v>470</v>
      </c>
      <c r="D42" t="s">
        <v>470</v>
      </c>
      <c r="E42" t="s">
        <v>78</v>
      </c>
      <c r="F42" t="s">
        <v>1136</v>
      </c>
      <c r="G42" t="s">
        <v>1192</v>
      </c>
      <c r="H42" t="s">
        <v>1193</v>
      </c>
      <c r="I42" t="s">
        <v>63</v>
      </c>
      <c r="K42" t="s">
        <v>1052</v>
      </c>
      <c r="L42" t="s">
        <v>78</v>
      </c>
      <c r="M42" t="s">
        <v>1041</v>
      </c>
      <c r="N42" t="s">
        <v>1105</v>
      </c>
      <c r="O42" t="s">
        <v>1116</v>
      </c>
      <c r="P42" t="s">
        <v>998</v>
      </c>
      <c r="Q42" t="s">
        <v>1110</v>
      </c>
      <c r="R42" t="s">
        <v>1194</v>
      </c>
      <c r="T42" t="s">
        <v>1112</v>
      </c>
      <c r="U42" t="s">
        <v>1122</v>
      </c>
    </row>
    <row r="43" spans="1:23" hidden="1" x14ac:dyDescent="0.35">
      <c r="A43" t="s">
        <v>30</v>
      </c>
      <c r="B43" t="s">
        <v>43</v>
      </c>
      <c r="C43" t="s">
        <v>692</v>
      </c>
      <c r="D43" t="s">
        <v>692</v>
      </c>
      <c r="E43" t="s">
        <v>78</v>
      </c>
      <c r="F43" t="s">
        <v>1136</v>
      </c>
      <c r="G43" t="s">
        <v>1195</v>
      </c>
      <c r="H43" t="s">
        <v>1196</v>
      </c>
      <c r="I43" t="s">
        <v>63</v>
      </c>
      <c r="K43" t="s">
        <v>1052</v>
      </c>
      <c r="L43" t="s">
        <v>78</v>
      </c>
      <c r="M43" t="s">
        <v>1041</v>
      </c>
      <c r="N43" t="s">
        <v>1126</v>
      </c>
      <c r="O43" t="s">
        <v>1126</v>
      </c>
      <c r="P43" t="s">
        <v>998</v>
      </c>
      <c r="Q43" t="s">
        <v>1197</v>
      </c>
      <c r="R43" t="s">
        <v>1198</v>
      </c>
      <c r="T43" t="s">
        <v>1112</v>
      </c>
      <c r="U43" t="s">
        <v>1122</v>
      </c>
    </row>
    <row r="44" spans="1:23" hidden="1" x14ac:dyDescent="0.35">
      <c r="A44" t="s">
        <v>30</v>
      </c>
      <c r="B44" t="s">
        <v>43</v>
      </c>
      <c r="C44" t="s">
        <v>700</v>
      </c>
      <c r="D44" t="s">
        <v>700</v>
      </c>
      <c r="E44" t="s">
        <v>78</v>
      </c>
      <c r="F44" t="s">
        <v>1136</v>
      </c>
      <c r="G44" t="s">
        <v>1199</v>
      </c>
      <c r="H44" t="s">
        <v>1200</v>
      </c>
      <c r="I44" t="s">
        <v>63</v>
      </c>
      <c r="K44" t="s">
        <v>1052</v>
      </c>
      <c r="L44" t="s">
        <v>78</v>
      </c>
      <c r="M44" t="s">
        <v>1041</v>
      </c>
      <c r="N44" t="s">
        <v>1126</v>
      </c>
      <c r="O44" t="s">
        <v>1126</v>
      </c>
      <c r="P44" t="s">
        <v>998</v>
      </c>
      <c r="Q44" t="s">
        <v>1201</v>
      </c>
      <c r="R44" t="s">
        <v>1202</v>
      </c>
      <c r="T44" t="s">
        <v>1112</v>
      </c>
      <c r="U44" t="s">
        <v>1122</v>
      </c>
    </row>
    <row r="45" spans="1:23" hidden="1" x14ac:dyDescent="0.35">
      <c r="A45" t="s">
        <v>30</v>
      </c>
      <c r="B45" t="s">
        <v>34</v>
      </c>
      <c r="C45" t="s">
        <v>899</v>
      </c>
      <c r="D45" t="s">
        <v>899</v>
      </c>
      <c r="E45" t="s">
        <v>900</v>
      </c>
      <c r="F45" t="s">
        <v>1136</v>
      </c>
      <c r="G45" t="s">
        <v>902</v>
      </c>
      <c r="H45" t="s">
        <v>903</v>
      </c>
      <c r="I45" t="s">
        <v>16</v>
      </c>
      <c r="K45" t="s">
        <v>1052</v>
      </c>
      <c r="L45" t="s">
        <v>900</v>
      </c>
      <c r="M45" t="s">
        <v>1041</v>
      </c>
      <c r="N45" t="s">
        <v>1203</v>
      </c>
      <c r="O45" t="s">
        <v>1203</v>
      </c>
      <c r="P45" t="s">
        <v>998</v>
      </c>
      <c r="U45" t="s">
        <v>1038</v>
      </c>
    </row>
    <row r="46" spans="1:23" hidden="1" x14ac:dyDescent="0.35">
      <c r="A46" t="s">
        <v>30</v>
      </c>
      <c r="B46" t="s">
        <v>40</v>
      </c>
      <c r="C46" t="s">
        <v>893</v>
      </c>
      <c r="D46" t="s">
        <v>893</v>
      </c>
      <c r="E46" t="s">
        <v>894</v>
      </c>
      <c r="F46" t="s">
        <v>1136</v>
      </c>
      <c r="G46" t="s">
        <v>895</v>
      </c>
      <c r="H46" t="s">
        <v>896</v>
      </c>
      <c r="I46" t="s">
        <v>16</v>
      </c>
      <c r="K46" t="s">
        <v>1052</v>
      </c>
      <c r="L46" t="s">
        <v>894</v>
      </c>
      <c r="M46" t="s">
        <v>1041</v>
      </c>
      <c r="N46" t="s">
        <v>1204</v>
      </c>
      <c r="O46" t="s">
        <v>1204</v>
      </c>
      <c r="P46" t="s">
        <v>998</v>
      </c>
      <c r="U46" t="s">
        <v>1038</v>
      </c>
    </row>
    <row r="47" spans="1:23" hidden="1" x14ac:dyDescent="0.35">
      <c r="A47" t="s">
        <v>30</v>
      </c>
      <c r="B47" t="s">
        <v>35</v>
      </c>
      <c r="C47" t="s">
        <v>514</v>
      </c>
      <c r="D47" t="s">
        <v>514</v>
      </c>
      <c r="E47" t="s">
        <v>515</v>
      </c>
      <c r="F47" t="s">
        <v>1136</v>
      </c>
      <c r="G47" t="s">
        <v>517</v>
      </c>
      <c r="H47" t="s">
        <v>515</v>
      </c>
      <c r="I47" t="s">
        <v>63</v>
      </c>
      <c r="K47" t="s">
        <v>1052</v>
      </c>
      <c r="L47" t="s">
        <v>1205</v>
      </c>
      <c r="M47" t="s">
        <v>1041</v>
      </c>
      <c r="N47" t="s">
        <v>1206</v>
      </c>
      <c r="P47" t="s">
        <v>998</v>
      </c>
      <c r="U47" t="s">
        <v>1007</v>
      </c>
    </row>
    <row r="48" spans="1:23" hidden="1" x14ac:dyDescent="0.35">
      <c r="A48" t="s">
        <v>30</v>
      </c>
      <c r="B48" t="s">
        <v>31</v>
      </c>
      <c r="C48" t="s">
        <v>310</v>
      </c>
      <c r="D48" t="s">
        <v>310</v>
      </c>
      <c r="E48" t="s">
        <v>1207</v>
      </c>
      <c r="F48" t="s">
        <v>1136</v>
      </c>
      <c r="G48" t="s">
        <v>1208</v>
      </c>
      <c r="H48" t="s">
        <v>1207</v>
      </c>
      <c r="I48" t="s">
        <v>16</v>
      </c>
      <c r="K48" t="s">
        <v>1052</v>
      </c>
      <c r="L48" t="s">
        <v>1207</v>
      </c>
      <c r="M48" t="s">
        <v>1041</v>
      </c>
      <c r="P48" t="s">
        <v>998</v>
      </c>
      <c r="U48" t="s">
        <v>1007</v>
      </c>
    </row>
    <row r="49" spans="1:23" hidden="1" x14ac:dyDescent="0.35">
      <c r="A49" t="s">
        <v>30</v>
      </c>
      <c r="B49" t="s">
        <v>37</v>
      </c>
      <c r="C49" t="s">
        <v>583</v>
      </c>
      <c r="D49" t="s">
        <v>583</v>
      </c>
      <c r="E49" t="s">
        <v>1209</v>
      </c>
      <c r="F49" t="s">
        <v>908</v>
      </c>
      <c r="G49" t="s">
        <v>1210</v>
      </c>
      <c r="H49" t="s">
        <v>1211</v>
      </c>
      <c r="I49" t="s">
        <v>15</v>
      </c>
      <c r="K49" t="s">
        <v>1052</v>
      </c>
      <c r="L49" t="s">
        <v>1209</v>
      </c>
      <c r="M49" t="s">
        <v>1041</v>
      </c>
      <c r="N49" t="s">
        <v>1212</v>
      </c>
      <c r="P49" t="s">
        <v>998</v>
      </c>
      <c r="T49" t="s">
        <v>1213</v>
      </c>
      <c r="U49" t="s">
        <v>1007</v>
      </c>
      <c r="W49">
        <v>550</v>
      </c>
    </row>
    <row r="50" spans="1:23" hidden="1" x14ac:dyDescent="0.35">
      <c r="A50" t="s">
        <v>30</v>
      </c>
      <c r="B50" t="s">
        <v>37</v>
      </c>
      <c r="C50" t="s">
        <v>583</v>
      </c>
      <c r="D50" t="s">
        <v>583</v>
      </c>
      <c r="E50" t="s">
        <v>1209</v>
      </c>
      <c r="F50" t="s">
        <v>911</v>
      </c>
      <c r="G50" t="s">
        <v>1214</v>
      </c>
      <c r="H50" t="s">
        <v>1215</v>
      </c>
      <c r="I50" t="s">
        <v>15</v>
      </c>
      <c r="K50" t="s">
        <v>1052</v>
      </c>
      <c r="L50" t="s">
        <v>1209</v>
      </c>
      <c r="M50" t="s">
        <v>1041</v>
      </c>
      <c r="N50" t="s">
        <v>1212</v>
      </c>
      <c r="P50" t="s">
        <v>998</v>
      </c>
      <c r="T50" t="s">
        <v>1213</v>
      </c>
      <c r="U50" t="s">
        <v>1007</v>
      </c>
      <c r="W50">
        <v>500</v>
      </c>
    </row>
    <row r="51" spans="1:23" hidden="1" x14ac:dyDescent="0.35">
      <c r="A51" t="s">
        <v>30</v>
      </c>
      <c r="B51" t="s">
        <v>37</v>
      </c>
      <c r="C51" t="s">
        <v>583</v>
      </c>
      <c r="D51" t="s">
        <v>583</v>
      </c>
      <c r="E51" t="s">
        <v>1209</v>
      </c>
      <c r="F51" t="s">
        <v>585</v>
      </c>
      <c r="H51" t="s">
        <v>1216</v>
      </c>
      <c r="I51" t="s">
        <v>63</v>
      </c>
      <c r="K51" t="s">
        <v>1052</v>
      </c>
      <c r="L51" t="s">
        <v>1209</v>
      </c>
      <c r="M51" t="s">
        <v>1041</v>
      </c>
      <c r="N51" t="s">
        <v>1212</v>
      </c>
      <c r="P51" t="s">
        <v>998</v>
      </c>
      <c r="T51" t="s">
        <v>1213</v>
      </c>
      <c r="U51" t="s">
        <v>1007</v>
      </c>
    </row>
    <row r="52" spans="1:23" hidden="1" x14ac:dyDescent="0.35">
      <c r="A52" t="s">
        <v>30</v>
      </c>
      <c r="B52" t="s">
        <v>32</v>
      </c>
      <c r="C52" t="s">
        <v>433</v>
      </c>
      <c r="D52" t="s">
        <v>433</v>
      </c>
      <c r="E52" t="s">
        <v>434</v>
      </c>
      <c r="F52" t="s">
        <v>1217</v>
      </c>
      <c r="H52" t="s">
        <v>436</v>
      </c>
      <c r="I52" t="s">
        <v>16</v>
      </c>
      <c r="K52" t="s">
        <v>1052</v>
      </c>
      <c r="L52" t="s">
        <v>434</v>
      </c>
      <c r="M52" t="s">
        <v>1041</v>
      </c>
      <c r="N52" t="s">
        <v>1212</v>
      </c>
      <c r="P52" t="s">
        <v>998</v>
      </c>
      <c r="U52" t="s">
        <v>1007</v>
      </c>
    </row>
    <row r="53" spans="1:23" hidden="1" x14ac:dyDescent="0.35">
      <c r="A53" t="s">
        <v>30</v>
      </c>
      <c r="B53" t="s">
        <v>675</v>
      </c>
      <c r="C53" t="s">
        <v>676</v>
      </c>
      <c r="D53" t="s">
        <v>676</v>
      </c>
      <c r="F53" t="s">
        <v>1217</v>
      </c>
      <c r="H53" t="s">
        <v>677</v>
      </c>
      <c r="I53" t="s">
        <v>63</v>
      </c>
      <c r="K53" t="s">
        <v>1052</v>
      </c>
      <c r="M53" t="s">
        <v>1041</v>
      </c>
      <c r="N53" t="s">
        <v>1212</v>
      </c>
    </row>
    <row r="54" spans="1:23" hidden="1" x14ac:dyDescent="0.35">
      <c r="A54" t="s">
        <v>30</v>
      </c>
      <c r="B54" t="s">
        <v>675</v>
      </c>
      <c r="C54" t="s">
        <v>676</v>
      </c>
      <c r="D54" t="s">
        <v>676</v>
      </c>
      <c r="F54" t="s">
        <v>1217</v>
      </c>
      <c r="H54" t="s">
        <v>1218</v>
      </c>
      <c r="I54" t="s">
        <v>63</v>
      </c>
      <c r="K54" t="s">
        <v>1052</v>
      </c>
      <c r="M54" t="s">
        <v>1041</v>
      </c>
      <c r="N54" t="s">
        <v>1212</v>
      </c>
    </row>
    <row r="55" spans="1:23" hidden="1" x14ac:dyDescent="0.35">
      <c r="A55" t="s">
        <v>30</v>
      </c>
      <c r="B55" t="s">
        <v>675</v>
      </c>
      <c r="C55" t="s">
        <v>676</v>
      </c>
      <c r="D55" t="s">
        <v>676</v>
      </c>
      <c r="F55" t="s">
        <v>1217</v>
      </c>
      <c r="H55" t="s">
        <v>682</v>
      </c>
      <c r="I55" t="s">
        <v>16</v>
      </c>
      <c r="K55" t="s">
        <v>1052</v>
      </c>
      <c r="M55" t="s">
        <v>1041</v>
      </c>
      <c r="N55" t="s">
        <v>1212</v>
      </c>
    </row>
    <row r="56" spans="1:23" hidden="1" x14ac:dyDescent="0.35">
      <c r="A56" t="s">
        <v>30</v>
      </c>
      <c r="B56" t="s">
        <v>36</v>
      </c>
      <c r="C56" t="s">
        <v>470</v>
      </c>
      <c r="D56" t="s">
        <v>470</v>
      </c>
      <c r="E56" t="s">
        <v>562</v>
      </c>
      <c r="F56" t="s">
        <v>1136</v>
      </c>
      <c r="H56" t="s">
        <v>564</v>
      </c>
      <c r="I56" t="s">
        <v>63</v>
      </c>
      <c r="K56" t="s">
        <v>1052</v>
      </c>
      <c r="L56" t="s">
        <v>562</v>
      </c>
      <c r="M56" t="s">
        <v>1041</v>
      </c>
      <c r="N56" t="s">
        <v>1105</v>
      </c>
      <c r="O56" t="s">
        <v>1116</v>
      </c>
    </row>
    <row r="57" spans="1:23" hidden="1" x14ac:dyDescent="0.35">
      <c r="A57" t="s">
        <v>30</v>
      </c>
      <c r="B57" t="s">
        <v>36</v>
      </c>
      <c r="C57" t="s">
        <v>470</v>
      </c>
      <c r="D57" t="s">
        <v>470</v>
      </c>
      <c r="E57" t="s">
        <v>434</v>
      </c>
      <c r="F57" t="s">
        <v>1136</v>
      </c>
      <c r="H57" t="s">
        <v>1219</v>
      </c>
      <c r="I57" t="s">
        <v>16</v>
      </c>
      <c r="K57" t="s">
        <v>1052</v>
      </c>
      <c r="L57" t="s">
        <v>434</v>
      </c>
      <c r="M57" t="s">
        <v>1041</v>
      </c>
      <c r="N57" t="s">
        <v>1105</v>
      </c>
      <c r="O57" t="s">
        <v>1116</v>
      </c>
    </row>
    <row r="58" spans="1:23" hidden="1" x14ac:dyDescent="0.35">
      <c r="A58" t="s">
        <v>23</v>
      </c>
      <c r="B58" t="s">
        <v>28</v>
      </c>
      <c r="C58" t="s">
        <v>28</v>
      </c>
      <c r="D58" t="s">
        <v>633</v>
      </c>
      <c r="E58" t="s">
        <v>69</v>
      </c>
      <c r="F58" t="s">
        <v>648</v>
      </c>
      <c r="G58" t="s">
        <v>1220</v>
      </c>
      <c r="H58" t="s">
        <v>1221</v>
      </c>
      <c r="I58" t="s">
        <v>63</v>
      </c>
      <c r="J58" t="s">
        <v>1222</v>
      </c>
      <c r="K58" t="s">
        <v>998</v>
      </c>
      <c r="L58" t="s">
        <v>1040</v>
      </c>
      <c r="M58" t="s">
        <v>1223</v>
      </c>
      <c r="N58" t="s">
        <v>1224</v>
      </c>
      <c r="O58" t="s">
        <v>1225</v>
      </c>
      <c r="P58" t="s">
        <v>1226</v>
      </c>
      <c r="Q58" t="s">
        <v>1227</v>
      </c>
      <c r="R58" t="s">
        <v>1228</v>
      </c>
      <c r="S58" t="s">
        <v>1229</v>
      </c>
      <c r="T58" t="s">
        <v>1230</v>
      </c>
      <c r="U58" t="s">
        <v>1231</v>
      </c>
      <c r="V58">
        <v>0</v>
      </c>
      <c r="W58" t="s">
        <v>1232</v>
      </c>
    </row>
    <row r="59" spans="1:23" hidden="1" x14ac:dyDescent="0.35">
      <c r="A59" t="s">
        <v>23</v>
      </c>
      <c r="B59" t="s">
        <v>28</v>
      </c>
      <c r="C59" t="s">
        <v>28</v>
      </c>
      <c r="D59" t="s">
        <v>633</v>
      </c>
      <c r="E59" t="s">
        <v>634</v>
      </c>
      <c r="F59" t="s">
        <v>635</v>
      </c>
      <c r="G59" t="s">
        <v>1233</v>
      </c>
      <c r="H59" t="s">
        <v>637</v>
      </c>
      <c r="I59" t="s">
        <v>15</v>
      </c>
      <c r="J59" t="s">
        <v>1234</v>
      </c>
      <c r="K59" t="s">
        <v>1235</v>
      </c>
      <c r="L59" t="s">
        <v>1236</v>
      </c>
      <c r="M59" t="s">
        <v>1223</v>
      </c>
      <c r="N59" t="s">
        <v>1237</v>
      </c>
      <c r="O59" t="s">
        <v>1238</v>
      </c>
      <c r="P59" t="s">
        <v>1239</v>
      </c>
      <c r="Q59" t="s">
        <v>1240</v>
      </c>
      <c r="R59" t="s">
        <v>1241</v>
      </c>
      <c r="S59" t="s">
        <v>1242</v>
      </c>
      <c r="T59" t="s">
        <v>1107</v>
      </c>
      <c r="U59" t="s">
        <v>1007</v>
      </c>
      <c r="V59">
        <v>0</v>
      </c>
      <c r="W59">
        <v>79</v>
      </c>
    </row>
    <row r="60" spans="1:23" hidden="1" x14ac:dyDescent="0.35">
      <c r="A60" t="s">
        <v>23</v>
      </c>
      <c r="B60" t="s">
        <v>28</v>
      </c>
      <c r="C60" t="s">
        <v>28</v>
      </c>
      <c r="D60" t="s">
        <v>641</v>
      </c>
      <c r="E60" t="s">
        <v>207</v>
      </c>
      <c r="F60" t="s">
        <v>642</v>
      </c>
      <c r="G60" t="s">
        <v>1243</v>
      </c>
      <c r="H60" t="s">
        <v>1244</v>
      </c>
      <c r="I60" t="s">
        <v>15</v>
      </c>
      <c r="J60" t="s">
        <v>1245</v>
      </c>
      <c r="K60" t="s">
        <v>998</v>
      </c>
      <c r="L60" t="s">
        <v>207</v>
      </c>
      <c r="M60" t="s">
        <v>1223</v>
      </c>
      <c r="N60" t="s">
        <v>1246</v>
      </c>
      <c r="O60" t="s">
        <v>1238</v>
      </c>
      <c r="P60" t="s">
        <v>998</v>
      </c>
      <c r="Q60" t="s">
        <v>1247</v>
      </c>
      <c r="R60" t="s">
        <v>1248</v>
      </c>
      <c r="S60" t="s">
        <v>1249</v>
      </c>
      <c r="T60" t="s">
        <v>1250</v>
      </c>
      <c r="U60" t="s">
        <v>1251</v>
      </c>
      <c r="V60">
        <v>8</v>
      </c>
      <c r="W60">
        <v>106</v>
      </c>
    </row>
    <row r="61" spans="1:23" hidden="1" x14ac:dyDescent="0.35">
      <c r="A61" t="s">
        <v>23</v>
      </c>
      <c r="B61" t="s">
        <v>28</v>
      </c>
      <c r="C61" t="s">
        <v>28</v>
      </c>
      <c r="D61" t="s">
        <v>620</v>
      </c>
      <c r="E61" t="s">
        <v>78</v>
      </c>
      <c r="F61" t="s">
        <v>621</v>
      </c>
      <c r="G61" t="s">
        <v>1252</v>
      </c>
      <c r="H61" t="s">
        <v>1253</v>
      </c>
      <c r="I61" t="s">
        <v>15</v>
      </c>
      <c r="J61" t="s">
        <v>1051</v>
      </c>
      <c r="K61" t="s">
        <v>1254</v>
      </c>
      <c r="L61" t="s">
        <v>78</v>
      </c>
      <c r="M61" t="s">
        <v>1223</v>
      </c>
      <c r="N61" t="s">
        <v>1255</v>
      </c>
      <c r="O61" t="s">
        <v>1238</v>
      </c>
      <c r="P61" t="s">
        <v>998</v>
      </c>
      <c r="Q61" t="s">
        <v>1256</v>
      </c>
      <c r="R61" t="s">
        <v>1257</v>
      </c>
      <c r="S61" t="s">
        <v>1258</v>
      </c>
      <c r="T61" t="s">
        <v>1259</v>
      </c>
      <c r="U61" t="s">
        <v>1024</v>
      </c>
      <c r="V61">
        <v>30</v>
      </c>
      <c r="W61">
        <v>45</v>
      </c>
    </row>
    <row r="62" spans="1:23" hidden="1" x14ac:dyDescent="0.35">
      <c r="A62" t="s">
        <v>23</v>
      </c>
      <c r="B62" t="s">
        <v>28</v>
      </c>
      <c r="C62" t="s">
        <v>28</v>
      </c>
      <c r="D62" t="s">
        <v>627</v>
      </c>
      <c r="E62" t="s">
        <v>78</v>
      </c>
      <c r="F62" t="s">
        <v>628</v>
      </c>
      <c r="G62" t="s">
        <v>1260</v>
      </c>
      <c r="H62" t="s">
        <v>1261</v>
      </c>
      <c r="I62" t="s">
        <v>15</v>
      </c>
      <c r="J62" t="s">
        <v>1051</v>
      </c>
      <c r="K62" t="s">
        <v>1254</v>
      </c>
      <c r="L62" t="s">
        <v>78</v>
      </c>
      <c r="M62" t="s">
        <v>1223</v>
      </c>
      <c r="N62" t="s">
        <v>1262</v>
      </c>
      <c r="O62" t="s">
        <v>1238</v>
      </c>
      <c r="P62" t="s">
        <v>998</v>
      </c>
      <c r="Q62" t="s">
        <v>1256</v>
      </c>
      <c r="R62" t="s">
        <v>1257</v>
      </c>
      <c r="S62" t="s">
        <v>1263</v>
      </c>
      <c r="T62" t="s">
        <v>1259</v>
      </c>
      <c r="U62" t="s">
        <v>1024</v>
      </c>
      <c r="V62">
        <v>20</v>
      </c>
      <c r="W62">
        <v>36</v>
      </c>
    </row>
    <row r="63" spans="1:23" hidden="1" x14ac:dyDescent="0.35">
      <c r="A63" t="s">
        <v>23</v>
      </c>
      <c r="B63" t="s">
        <v>24</v>
      </c>
      <c r="C63" t="s">
        <v>68</v>
      </c>
      <c r="D63" t="s">
        <v>68</v>
      </c>
      <c r="E63" t="s">
        <v>69</v>
      </c>
      <c r="F63" t="s">
        <v>70</v>
      </c>
      <c r="G63" t="s">
        <v>71</v>
      </c>
      <c r="H63" t="s">
        <v>72</v>
      </c>
      <c r="I63" t="s">
        <v>15</v>
      </c>
      <c r="K63" t="s">
        <v>998</v>
      </c>
      <c r="L63" t="s">
        <v>1040</v>
      </c>
      <c r="M63" t="s">
        <v>1264</v>
      </c>
      <c r="N63" t="s">
        <v>1265</v>
      </c>
      <c r="O63" t="s">
        <v>1266</v>
      </c>
      <c r="P63" t="s">
        <v>1267</v>
      </c>
      <c r="Q63" t="s">
        <v>1268</v>
      </c>
      <c r="R63" t="s">
        <v>1269</v>
      </c>
      <c r="S63" t="s">
        <v>1270</v>
      </c>
      <c r="T63" t="s">
        <v>1230</v>
      </c>
      <c r="U63" t="s">
        <v>1007</v>
      </c>
      <c r="V63">
        <v>0</v>
      </c>
      <c r="W63">
        <v>179</v>
      </c>
    </row>
    <row r="64" spans="1:23" hidden="1" x14ac:dyDescent="0.35">
      <c r="A64" t="s">
        <v>23</v>
      </c>
      <c r="B64" t="s">
        <v>24</v>
      </c>
      <c r="C64" t="s">
        <v>68</v>
      </c>
      <c r="D64" t="s">
        <v>99</v>
      </c>
      <c r="E64" t="s">
        <v>78</v>
      </c>
      <c r="F64" t="s">
        <v>1271</v>
      </c>
      <c r="G64" t="s">
        <v>1272</v>
      </c>
      <c r="H64" t="s">
        <v>1273</v>
      </c>
      <c r="I64" t="s">
        <v>16</v>
      </c>
      <c r="K64" t="s">
        <v>998</v>
      </c>
      <c r="L64" t="s">
        <v>78</v>
      </c>
      <c r="M64" t="s">
        <v>1264</v>
      </c>
      <c r="N64" t="s">
        <v>1274</v>
      </c>
      <c r="O64" t="s">
        <v>1238</v>
      </c>
      <c r="P64" t="s">
        <v>1275</v>
      </c>
      <c r="Q64" t="s">
        <v>1276</v>
      </c>
      <c r="R64" t="s">
        <v>1277</v>
      </c>
      <c r="T64" t="s">
        <v>1259</v>
      </c>
      <c r="U64" t="s">
        <v>1007</v>
      </c>
    </row>
    <row r="65" spans="1:25" hidden="1" x14ac:dyDescent="0.35">
      <c r="A65" t="s">
        <v>23</v>
      </c>
      <c r="B65" t="s">
        <v>24</v>
      </c>
      <c r="C65" t="s">
        <v>68</v>
      </c>
      <c r="D65" t="s">
        <v>99</v>
      </c>
      <c r="E65" t="s">
        <v>78</v>
      </c>
      <c r="F65" t="s">
        <v>1136</v>
      </c>
      <c r="H65" t="s">
        <v>1278</v>
      </c>
      <c r="I65" t="s">
        <v>16</v>
      </c>
      <c r="K65" t="s">
        <v>1052</v>
      </c>
      <c r="L65" t="s">
        <v>78</v>
      </c>
      <c r="M65" t="s">
        <v>1264</v>
      </c>
    </row>
    <row r="66" spans="1:25" hidden="1" x14ac:dyDescent="0.35">
      <c r="A66" t="s">
        <v>23</v>
      </c>
      <c r="B66" t="s">
        <v>25</v>
      </c>
      <c r="C66" t="s">
        <v>205</v>
      </c>
      <c r="D66" t="s">
        <v>217</v>
      </c>
      <c r="E66" t="s">
        <v>1279</v>
      </c>
      <c r="F66" t="s">
        <v>219</v>
      </c>
      <c r="G66" t="s">
        <v>1280</v>
      </c>
      <c r="H66" t="s">
        <v>1281</v>
      </c>
      <c r="I66" t="s">
        <v>15</v>
      </c>
      <c r="K66" t="s">
        <v>998</v>
      </c>
      <c r="L66" t="s">
        <v>1279</v>
      </c>
      <c r="M66" t="s">
        <v>1223</v>
      </c>
      <c r="N66" t="s">
        <v>1282</v>
      </c>
      <c r="O66" t="s">
        <v>1283</v>
      </c>
      <c r="P66" t="s">
        <v>998</v>
      </c>
      <c r="Q66" t="s">
        <v>1284</v>
      </c>
      <c r="R66" t="s">
        <v>1285</v>
      </c>
      <c r="T66" t="s">
        <v>1286</v>
      </c>
      <c r="U66" t="s">
        <v>1024</v>
      </c>
      <c r="W66">
        <v>22</v>
      </c>
    </row>
    <row r="67" spans="1:25" hidden="1" x14ac:dyDescent="0.35">
      <c r="A67" t="s">
        <v>23</v>
      </c>
      <c r="B67" t="s">
        <v>25</v>
      </c>
      <c r="C67" t="s">
        <v>205</v>
      </c>
      <c r="D67" t="s">
        <v>206</v>
      </c>
      <c r="E67" t="s">
        <v>207</v>
      </c>
      <c r="F67" t="s">
        <v>208</v>
      </c>
      <c r="G67" t="s">
        <v>209</v>
      </c>
      <c r="H67" t="s">
        <v>210</v>
      </c>
      <c r="I67" t="s">
        <v>63</v>
      </c>
      <c r="K67" t="s">
        <v>998</v>
      </c>
      <c r="L67" t="s">
        <v>207</v>
      </c>
      <c r="M67" t="s">
        <v>1223</v>
      </c>
      <c r="N67" t="s">
        <v>1282</v>
      </c>
      <c r="O67" t="s">
        <v>1283</v>
      </c>
      <c r="P67" t="s">
        <v>998</v>
      </c>
      <c r="Q67" t="s">
        <v>1287</v>
      </c>
      <c r="R67" t="s">
        <v>1288</v>
      </c>
      <c r="T67" t="s">
        <v>1289</v>
      </c>
      <c r="U67" t="s">
        <v>1024</v>
      </c>
    </row>
    <row r="68" spans="1:25" hidden="1" x14ac:dyDescent="0.35">
      <c r="A68" t="s">
        <v>23</v>
      </c>
      <c r="B68" t="s">
        <v>25</v>
      </c>
      <c r="C68" t="s">
        <v>200</v>
      </c>
      <c r="D68" t="s">
        <v>200</v>
      </c>
      <c r="E68" t="s">
        <v>78</v>
      </c>
      <c r="F68" t="s">
        <v>1136</v>
      </c>
      <c r="G68" t="s">
        <v>1290</v>
      </c>
      <c r="H68" t="s">
        <v>1291</v>
      </c>
      <c r="I68" t="s">
        <v>16</v>
      </c>
      <c r="K68" t="s">
        <v>998</v>
      </c>
      <c r="L68" t="s">
        <v>78</v>
      </c>
      <c r="M68" t="s">
        <v>1223</v>
      </c>
      <c r="N68" t="s">
        <v>1292</v>
      </c>
      <c r="O68" t="s">
        <v>1238</v>
      </c>
      <c r="P68" t="s">
        <v>998</v>
      </c>
      <c r="Q68" t="s">
        <v>1293</v>
      </c>
      <c r="R68" t="s">
        <v>1294</v>
      </c>
      <c r="T68" t="s">
        <v>1295</v>
      </c>
      <c r="U68" t="s">
        <v>1007</v>
      </c>
    </row>
    <row r="69" spans="1:25" hidden="1" x14ac:dyDescent="0.35">
      <c r="A69" t="s">
        <v>23</v>
      </c>
      <c r="B69" t="s">
        <v>25</v>
      </c>
      <c r="C69" t="s">
        <v>200</v>
      </c>
      <c r="D69" t="s">
        <v>200</v>
      </c>
      <c r="E69" t="s">
        <v>78</v>
      </c>
      <c r="F69" t="s">
        <v>1136</v>
      </c>
      <c r="G69" t="s">
        <v>1296</v>
      </c>
      <c r="H69" t="s">
        <v>1297</v>
      </c>
      <c r="I69" t="s">
        <v>16</v>
      </c>
      <c r="K69" t="s">
        <v>998</v>
      </c>
      <c r="L69" t="s">
        <v>78</v>
      </c>
      <c r="M69" t="s">
        <v>1223</v>
      </c>
      <c r="N69" t="s">
        <v>1292</v>
      </c>
      <c r="O69" t="s">
        <v>1238</v>
      </c>
      <c r="P69" t="s">
        <v>998</v>
      </c>
      <c r="Q69" t="s">
        <v>1298</v>
      </c>
      <c r="R69" t="s">
        <v>1299</v>
      </c>
      <c r="T69" t="s">
        <v>1300</v>
      </c>
      <c r="U69" t="s">
        <v>1024</v>
      </c>
    </row>
    <row r="70" spans="1:25" hidden="1" x14ac:dyDescent="0.35">
      <c r="A70" t="s">
        <v>23</v>
      </c>
      <c r="B70" t="s">
        <v>25</v>
      </c>
      <c r="C70" t="s">
        <v>205</v>
      </c>
      <c r="D70" t="s">
        <v>205</v>
      </c>
      <c r="E70" t="s">
        <v>207</v>
      </c>
      <c r="F70" t="s">
        <v>1136</v>
      </c>
      <c r="G70" t="s">
        <v>242</v>
      </c>
      <c r="H70" t="s">
        <v>243</v>
      </c>
      <c r="I70" t="s">
        <v>63</v>
      </c>
      <c r="K70" t="s">
        <v>1052</v>
      </c>
      <c r="L70" t="s">
        <v>207</v>
      </c>
      <c r="M70" t="s">
        <v>1223</v>
      </c>
      <c r="N70" t="s">
        <v>1282</v>
      </c>
      <c r="O70" t="s">
        <v>1283</v>
      </c>
      <c r="P70" t="s">
        <v>998</v>
      </c>
      <c r="Q70" t="s">
        <v>1298</v>
      </c>
      <c r="R70" t="s">
        <v>1301</v>
      </c>
      <c r="T70" t="s">
        <v>1289</v>
      </c>
      <c r="U70" t="s">
        <v>1024</v>
      </c>
    </row>
    <row r="71" spans="1:25" hidden="1" x14ac:dyDescent="0.35">
      <c r="A71" t="s">
        <v>23</v>
      </c>
      <c r="B71" t="s">
        <v>25</v>
      </c>
      <c r="C71" t="s">
        <v>205</v>
      </c>
      <c r="D71" t="s">
        <v>205</v>
      </c>
      <c r="E71" t="s">
        <v>78</v>
      </c>
      <c r="F71" t="s">
        <v>1136</v>
      </c>
      <c r="G71" t="s">
        <v>1302</v>
      </c>
      <c r="H71" t="s">
        <v>1303</v>
      </c>
      <c r="I71" t="s">
        <v>16</v>
      </c>
      <c r="K71" t="s">
        <v>1052</v>
      </c>
      <c r="L71" t="s">
        <v>78</v>
      </c>
      <c r="M71" t="s">
        <v>1223</v>
      </c>
      <c r="N71" t="s">
        <v>1282</v>
      </c>
      <c r="O71" t="s">
        <v>1283</v>
      </c>
      <c r="P71" t="s">
        <v>998</v>
      </c>
      <c r="Q71" t="s">
        <v>1298</v>
      </c>
      <c r="R71" t="s">
        <v>1304</v>
      </c>
      <c r="T71" t="s">
        <v>1289</v>
      </c>
      <c r="U71" t="s">
        <v>1024</v>
      </c>
    </row>
    <row r="72" spans="1:25" hidden="1" x14ac:dyDescent="0.35">
      <c r="A72" t="s">
        <v>23</v>
      </c>
      <c r="B72" t="s">
        <v>25</v>
      </c>
      <c r="C72" t="s">
        <v>205</v>
      </c>
      <c r="D72" t="s">
        <v>205</v>
      </c>
      <c r="E72" t="s">
        <v>78</v>
      </c>
      <c r="F72" t="s">
        <v>1136</v>
      </c>
      <c r="G72" t="s">
        <v>1305</v>
      </c>
      <c r="H72" t="s">
        <v>1306</v>
      </c>
      <c r="I72" t="s">
        <v>16</v>
      </c>
      <c r="K72" t="s">
        <v>1052</v>
      </c>
      <c r="L72" t="s">
        <v>78</v>
      </c>
      <c r="M72" t="s">
        <v>1223</v>
      </c>
      <c r="N72" t="s">
        <v>1282</v>
      </c>
      <c r="O72" t="s">
        <v>1283</v>
      </c>
      <c r="P72" t="s">
        <v>998</v>
      </c>
      <c r="Q72" t="s">
        <v>1298</v>
      </c>
      <c r="R72" t="s">
        <v>1307</v>
      </c>
      <c r="T72" t="s">
        <v>1289</v>
      </c>
      <c r="U72" t="s">
        <v>1024</v>
      </c>
    </row>
    <row r="73" spans="1:25" hidden="1" x14ac:dyDescent="0.35">
      <c r="A73" t="s">
        <v>23</v>
      </c>
      <c r="B73" t="s">
        <v>27</v>
      </c>
      <c r="C73" t="s">
        <v>487</v>
      </c>
      <c r="D73" t="s">
        <v>487</v>
      </c>
      <c r="E73" t="s">
        <v>78</v>
      </c>
      <c r="F73" t="s">
        <v>1136</v>
      </c>
      <c r="G73" t="s">
        <v>1308</v>
      </c>
      <c r="H73" t="s">
        <v>1309</v>
      </c>
      <c r="I73" t="s">
        <v>16</v>
      </c>
      <c r="K73" t="s">
        <v>1052</v>
      </c>
      <c r="L73" t="s">
        <v>78</v>
      </c>
      <c r="M73" t="s">
        <v>1264</v>
      </c>
      <c r="N73" t="s">
        <v>1310</v>
      </c>
      <c r="O73" t="s">
        <v>1238</v>
      </c>
      <c r="P73" t="s">
        <v>998</v>
      </c>
      <c r="Q73" t="s">
        <v>1311</v>
      </c>
      <c r="R73" t="s">
        <v>1312</v>
      </c>
      <c r="T73" t="s">
        <v>1313</v>
      </c>
      <c r="U73" t="s">
        <v>1007</v>
      </c>
    </row>
    <row r="74" spans="1:25" hidden="1" x14ac:dyDescent="0.35">
      <c r="A74" t="s">
        <v>23</v>
      </c>
      <c r="B74" t="s">
        <v>27</v>
      </c>
      <c r="C74" t="s">
        <v>487</v>
      </c>
      <c r="D74" t="s">
        <v>487</v>
      </c>
      <c r="E74" t="s">
        <v>207</v>
      </c>
      <c r="F74" t="s">
        <v>1314</v>
      </c>
      <c r="G74" t="s">
        <v>1315</v>
      </c>
      <c r="H74" t="s">
        <v>1316</v>
      </c>
      <c r="I74" t="s">
        <v>16</v>
      </c>
      <c r="K74" t="s">
        <v>1052</v>
      </c>
      <c r="L74" t="s">
        <v>207</v>
      </c>
      <c r="M74" t="s">
        <v>1264</v>
      </c>
      <c r="N74" t="s">
        <v>1310</v>
      </c>
      <c r="O74" t="s">
        <v>1238</v>
      </c>
      <c r="P74" t="s">
        <v>998</v>
      </c>
      <c r="Q74" t="s">
        <v>1317</v>
      </c>
      <c r="R74" t="s">
        <v>1318</v>
      </c>
      <c r="U74" t="s">
        <v>1007</v>
      </c>
    </row>
    <row r="75" spans="1:25" hidden="1" x14ac:dyDescent="0.35">
      <c r="A75" t="s">
        <v>23</v>
      </c>
      <c r="B75" t="s">
        <v>27</v>
      </c>
      <c r="C75" t="s">
        <v>476</v>
      </c>
      <c r="D75" t="s">
        <v>476</v>
      </c>
      <c r="E75" t="s">
        <v>207</v>
      </c>
      <c r="F75" t="s">
        <v>477</v>
      </c>
      <c r="G75" t="s">
        <v>478</v>
      </c>
      <c r="H75" t="s">
        <v>479</v>
      </c>
      <c r="I75" t="s">
        <v>16</v>
      </c>
      <c r="K75" t="s">
        <v>1052</v>
      </c>
      <c r="L75" t="s">
        <v>207</v>
      </c>
      <c r="M75" t="s">
        <v>1264</v>
      </c>
      <c r="N75" t="s">
        <v>1310</v>
      </c>
      <c r="O75" t="s">
        <v>1238</v>
      </c>
      <c r="P75" t="s">
        <v>998</v>
      </c>
      <c r="Q75" t="s">
        <v>1317</v>
      </c>
      <c r="U75" t="s">
        <v>1007</v>
      </c>
    </row>
    <row r="76" spans="1:25" hidden="1" x14ac:dyDescent="0.35">
      <c r="A76" t="s">
        <v>23</v>
      </c>
      <c r="B76" t="s">
        <v>26</v>
      </c>
      <c r="C76" t="s">
        <v>437</v>
      </c>
      <c r="D76" t="s">
        <v>437</v>
      </c>
      <c r="E76" t="s">
        <v>438</v>
      </c>
      <c r="F76" t="s">
        <v>1319</v>
      </c>
      <c r="G76" t="s">
        <v>1320</v>
      </c>
      <c r="H76" t="s">
        <v>438</v>
      </c>
      <c r="I76" t="s">
        <v>16</v>
      </c>
      <c r="K76" t="s">
        <v>1052</v>
      </c>
      <c r="L76" t="s">
        <v>207</v>
      </c>
      <c r="M76" t="s">
        <v>1264</v>
      </c>
      <c r="N76" t="s">
        <v>1321</v>
      </c>
      <c r="O76" t="s">
        <v>1238</v>
      </c>
      <c r="P76" t="s">
        <v>998</v>
      </c>
      <c r="Q76" t="s">
        <v>1322</v>
      </c>
      <c r="R76" t="s">
        <v>1323</v>
      </c>
      <c r="T76" t="s">
        <v>1324</v>
      </c>
      <c r="U76" t="s">
        <v>1007</v>
      </c>
      <c r="Y76" t="s">
        <v>1325</v>
      </c>
    </row>
    <row r="77" spans="1:25" hidden="1" x14ac:dyDescent="0.35">
      <c r="A77" t="s">
        <v>23</v>
      </c>
      <c r="B77" t="s">
        <v>26</v>
      </c>
      <c r="C77" t="s">
        <v>437</v>
      </c>
      <c r="D77" t="s">
        <v>437</v>
      </c>
      <c r="E77" t="s">
        <v>448</v>
      </c>
      <c r="F77" t="s">
        <v>462</v>
      </c>
      <c r="G77" t="s">
        <v>1326</v>
      </c>
      <c r="H77" t="s">
        <v>448</v>
      </c>
      <c r="I77" t="s">
        <v>379</v>
      </c>
      <c r="K77" t="s">
        <v>1052</v>
      </c>
      <c r="L77" t="s">
        <v>1327</v>
      </c>
      <c r="M77" t="s">
        <v>1264</v>
      </c>
      <c r="N77" t="s">
        <v>1321</v>
      </c>
      <c r="O77" t="s">
        <v>1238</v>
      </c>
      <c r="P77" t="s">
        <v>998</v>
      </c>
      <c r="Q77" t="s">
        <v>1328</v>
      </c>
      <c r="R77" t="s">
        <v>1329</v>
      </c>
      <c r="T77" t="s">
        <v>1330</v>
      </c>
      <c r="U77" t="s">
        <v>1007</v>
      </c>
      <c r="Y77" t="s">
        <v>1325</v>
      </c>
    </row>
    <row r="78" spans="1:25" hidden="1" x14ac:dyDescent="0.35">
      <c r="A78" t="s">
        <v>23</v>
      </c>
      <c r="B78" t="s">
        <v>25</v>
      </c>
      <c r="C78" t="s">
        <v>200</v>
      </c>
      <c r="D78" t="s">
        <v>200</v>
      </c>
      <c r="E78" t="s">
        <v>1331</v>
      </c>
      <c r="F78" t="s">
        <v>1136</v>
      </c>
      <c r="G78" t="s">
        <v>1332</v>
      </c>
      <c r="H78" t="s">
        <v>262</v>
      </c>
      <c r="I78" t="s">
        <v>16</v>
      </c>
      <c r="K78" t="s">
        <v>1052</v>
      </c>
      <c r="L78" t="s">
        <v>1331</v>
      </c>
      <c r="M78" t="s">
        <v>1223</v>
      </c>
      <c r="N78" t="s">
        <v>1292</v>
      </c>
      <c r="O78" t="s">
        <v>1238</v>
      </c>
      <c r="P78" t="s">
        <v>998</v>
      </c>
      <c r="Q78" t="s">
        <v>1328</v>
      </c>
      <c r="R78" t="s">
        <v>1333</v>
      </c>
      <c r="U78" t="s">
        <v>1024</v>
      </c>
    </row>
    <row r="79" spans="1:25" hidden="1" x14ac:dyDescent="0.35">
      <c r="A79" t="s">
        <v>23</v>
      </c>
      <c r="B79" t="s">
        <v>25</v>
      </c>
      <c r="C79" t="s">
        <v>200</v>
      </c>
      <c r="D79" t="s">
        <v>200</v>
      </c>
      <c r="E79" t="s">
        <v>78</v>
      </c>
      <c r="F79" t="s">
        <v>1136</v>
      </c>
      <c r="G79" t="s">
        <v>1334</v>
      </c>
      <c r="H79" t="s">
        <v>1335</v>
      </c>
      <c r="I79" t="s">
        <v>16</v>
      </c>
      <c r="K79" t="s">
        <v>1052</v>
      </c>
      <c r="L79" t="s">
        <v>78</v>
      </c>
      <c r="M79" t="s">
        <v>1223</v>
      </c>
      <c r="N79" t="s">
        <v>1292</v>
      </c>
      <c r="O79" t="s">
        <v>1238</v>
      </c>
      <c r="P79" t="s">
        <v>998</v>
      </c>
      <c r="Q79" t="s">
        <v>1298</v>
      </c>
      <c r="R79" t="s">
        <v>1294</v>
      </c>
      <c r="T79" t="s">
        <v>1300</v>
      </c>
      <c r="U79" t="s">
        <v>1007</v>
      </c>
    </row>
    <row r="80" spans="1:25" hidden="1" x14ac:dyDescent="0.35">
      <c r="A80" t="s">
        <v>23</v>
      </c>
      <c r="B80" t="s">
        <v>25</v>
      </c>
      <c r="C80" t="s">
        <v>188</v>
      </c>
      <c r="D80" t="s">
        <v>188</v>
      </c>
      <c r="E80" t="s">
        <v>195</v>
      </c>
      <c r="F80" t="s">
        <v>1136</v>
      </c>
      <c r="G80" t="s">
        <v>196</v>
      </c>
      <c r="H80" t="s">
        <v>195</v>
      </c>
      <c r="I80" t="s">
        <v>16</v>
      </c>
      <c r="K80" t="s">
        <v>1052</v>
      </c>
      <c r="L80" t="s">
        <v>195</v>
      </c>
      <c r="M80" t="s">
        <v>1223</v>
      </c>
      <c r="N80" t="s">
        <v>1292</v>
      </c>
      <c r="O80" t="s">
        <v>1238</v>
      </c>
      <c r="P80" t="s">
        <v>998</v>
      </c>
      <c r="Q80" t="s">
        <v>1328</v>
      </c>
      <c r="R80" t="s">
        <v>1336</v>
      </c>
      <c r="U80" t="s">
        <v>1024</v>
      </c>
    </row>
    <row r="81" spans="1:25" hidden="1" x14ac:dyDescent="0.35">
      <c r="A81" t="s">
        <v>23</v>
      </c>
      <c r="B81" t="s">
        <v>26</v>
      </c>
      <c r="C81" t="s">
        <v>447</v>
      </c>
      <c r="D81" t="s">
        <v>447</v>
      </c>
      <c r="E81" t="s">
        <v>448</v>
      </c>
      <c r="F81" t="s">
        <v>449</v>
      </c>
      <c r="G81" t="s">
        <v>1337</v>
      </c>
      <c r="H81" t="s">
        <v>448</v>
      </c>
      <c r="I81" t="s">
        <v>379</v>
      </c>
      <c r="K81" t="s">
        <v>1052</v>
      </c>
      <c r="L81" t="s">
        <v>1327</v>
      </c>
      <c r="M81" t="s">
        <v>1264</v>
      </c>
      <c r="N81" t="s">
        <v>1321</v>
      </c>
      <c r="O81" t="s">
        <v>1238</v>
      </c>
      <c r="P81" t="s">
        <v>998</v>
      </c>
      <c r="Q81" t="s">
        <v>1328</v>
      </c>
      <c r="R81" t="s">
        <v>1329</v>
      </c>
      <c r="T81" t="s">
        <v>1330</v>
      </c>
      <c r="U81" t="s">
        <v>1007</v>
      </c>
      <c r="Y81" t="s">
        <v>1325</v>
      </c>
    </row>
    <row r="82" spans="1:25" hidden="1" x14ac:dyDescent="0.35">
      <c r="A82" t="s">
        <v>23</v>
      </c>
      <c r="B82" t="s">
        <v>26</v>
      </c>
      <c r="C82" t="s">
        <v>457</v>
      </c>
      <c r="D82" t="s">
        <v>457</v>
      </c>
      <c r="E82" t="s">
        <v>448</v>
      </c>
      <c r="F82" t="s">
        <v>458</v>
      </c>
      <c r="G82" t="s">
        <v>459</v>
      </c>
      <c r="H82" t="s">
        <v>448</v>
      </c>
      <c r="I82" t="s">
        <v>379</v>
      </c>
      <c r="K82" t="s">
        <v>1052</v>
      </c>
      <c r="L82" t="s">
        <v>1327</v>
      </c>
      <c r="M82" t="s">
        <v>1264</v>
      </c>
      <c r="N82" t="s">
        <v>1321</v>
      </c>
      <c r="O82" t="s">
        <v>1238</v>
      </c>
      <c r="P82" t="s">
        <v>998</v>
      </c>
      <c r="Q82" t="s">
        <v>1328</v>
      </c>
      <c r="R82" t="s">
        <v>1329</v>
      </c>
      <c r="T82" t="s">
        <v>1330</v>
      </c>
      <c r="U82" t="s">
        <v>1007</v>
      </c>
      <c r="Y82" t="s">
        <v>1325</v>
      </c>
    </row>
    <row r="83" spans="1:25" x14ac:dyDescent="0.35">
      <c r="A83" t="s">
        <v>531</v>
      </c>
      <c r="B83" t="s">
        <v>21</v>
      </c>
      <c r="C83" t="s">
        <v>915</v>
      </c>
      <c r="D83" t="s">
        <v>1338</v>
      </c>
      <c r="E83" t="s">
        <v>69</v>
      </c>
      <c r="F83" t="s">
        <v>960</v>
      </c>
      <c r="G83" t="s">
        <v>1339</v>
      </c>
      <c r="H83" t="s">
        <v>1340</v>
      </c>
      <c r="I83" t="s">
        <v>15</v>
      </c>
      <c r="J83" t="s">
        <v>1341</v>
      </c>
      <c r="K83" t="s">
        <v>998</v>
      </c>
      <c r="L83" t="s">
        <v>1040</v>
      </c>
      <c r="M83" t="s">
        <v>1342</v>
      </c>
      <c r="N83" t="s">
        <v>1343</v>
      </c>
      <c r="O83" t="s">
        <v>1344</v>
      </c>
      <c r="P83" t="s">
        <v>1345</v>
      </c>
      <c r="R83" t="s">
        <v>1346</v>
      </c>
      <c r="S83" t="s">
        <v>1347</v>
      </c>
      <c r="T83" t="s">
        <v>1230</v>
      </c>
      <c r="U83" t="s">
        <v>1348</v>
      </c>
      <c r="V83">
        <v>0</v>
      </c>
      <c r="W83">
        <v>268</v>
      </c>
    </row>
    <row r="84" spans="1:25" x14ac:dyDescent="0.35">
      <c r="A84" t="s">
        <v>531</v>
      </c>
      <c r="B84" t="s">
        <v>21</v>
      </c>
      <c r="C84" t="s">
        <v>608</v>
      </c>
      <c r="D84" t="s">
        <v>608</v>
      </c>
      <c r="E84" t="s">
        <v>953</v>
      </c>
      <c r="F84" t="s">
        <v>954</v>
      </c>
      <c r="G84" t="s">
        <v>1349</v>
      </c>
      <c r="H84" t="s">
        <v>1350</v>
      </c>
      <c r="I84" t="s">
        <v>16</v>
      </c>
      <c r="J84" t="s">
        <v>1092</v>
      </c>
      <c r="K84" t="s">
        <v>1034</v>
      </c>
      <c r="L84" t="s">
        <v>953</v>
      </c>
      <c r="M84" t="s">
        <v>1342</v>
      </c>
      <c r="N84" t="s">
        <v>1351</v>
      </c>
      <c r="O84" t="s">
        <v>1238</v>
      </c>
      <c r="P84" t="s">
        <v>1352</v>
      </c>
      <c r="Q84" t="s">
        <v>1353</v>
      </c>
      <c r="R84" t="s">
        <v>1354</v>
      </c>
      <c r="S84" t="s">
        <v>1355</v>
      </c>
      <c r="T84" t="s">
        <v>1082</v>
      </c>
      <c r="U84" t="s">
        <v>1024</v>
      </c>
      <c r="V84">
        <v>0</v>
      </c>
      <c r="W84" t="s">
        <v>1356</v>
      </c>
    </row>
    <row r="85" spans="1:25" x14ac:dyDescent="0.35">
      <c r="A85" t="s">
        <v>531</v>
      </c>
      <c r="B85" t="s">
        <v>21</v>
      </c>
      <c r="C85" t="s">
        <v>608</v>
      </c>
      <c r="D85" t="s">
        <v>608</v>
      </c>
      <c r="E85" t="s">
        <v>78</v>
      </c>
      <c r="F85" t="s">
        <v>1357</v>
      </c>
      <c r="G85" t="s">
        <v>1358</v>
      </c>
      <c r="H85" t="s">
        <v>1359</v>
      </c>
      <c r="I85" t="s">
        <v>15</v>
      </c>
      <c r="J85" t="s">
        <v>1051</v>
      </c>
      <c r="K85" t="s">
        <v>1052</v>
      </c>
      <c r="L85" t="s">
        <v>78</v>
      </c>
      <c r="M85" t="s">
        <v>1342</v>
      </c>
      <c r="N85" t="s">
        <v>1351</v>
      </c>
      <c r="O85" t="s">
        <v>1238</v>
      </c>
      <c r="P85" t="s">
        <v>998</v>
      </c>
      <c r="Q85" t="s">
        <v>1360</v>
      </c>
      <c r="R85" t="s">
        <v>1361</v>
      </c>
      <c r="T85" t="s">
        <v>1362</v>
      </c>
      <c r="U85" t="s">
        <v>1024</v>
      </c>
      <c r="W85">
        <v>34</v>
      </c>
    </row>
    <row r="86" spans="1:25" x14ac:dyDescent="0.35">
      <c r="A86" t="s">
        <v>531</v>
      </c>
      <c r="B86" t="s">
        <v>21</v>
      </c>
      <c r="C86" t="s">
        <v>797</v>
      </c>
      <c r="D86" t="s">
        <v>863</v>
      </c>
      <c r="E86" t="s">
        <v>78</v>
      </c>
      <c r="F86" t="s">
        <v>864</v>
      </c>
      <c r="G86" t="s">
        <v>1363</v>
      </c>
      <c r="H86" t="s">
        <v>1364</v>
      </c>
      <c r="I86" t="s">
        <v>16</v>
      </c>
      <c r="K86" t="s">
        <v>1052</v>
      </c>
      <c r="L86" t="s">
        <v>78</v>
      </c>
      <c r="M86" t="s">
        <v>1342</v>
      </c>
      <c r="N86" t="s">
        <v>1365</v>
      </c>
      <c r="P86" t="s">
        <v>1034</v>
      </c>
      <c r="Q86" t="s">
        <v>1366</v>
      </c>
      <c r="R86" t="s">
        <v>1367</v>
      </c>
      <c r="T86" t="s">
        <v>1368</v>
      </c>
      <c r="U86" t="s">
        <v>1024</v>
      </c>
    </row>
    <row r="87" spans="1:25" x14ac:dyDescent="0.35">
      <c r="A87" t="s">
        <v>531</v>
      </c>
      <c r="B87" t="s">
        <v>21</v>
      </c>
      <c r="C87" t="s">
        <v>797</v>
      </c>
      <c r="D87" t="s">
        <v>863</v>
      </c>
      <c r="E87" t="s">
        <v>78</v>
      </c>
      <c r="F87" t="s">
        <v>1136</v>
      </c>
      <c r="G87" t="s">
        <v>1369</v>
      </c>
      <c r="H87" t="s">
        <v>1370</v>
      </c>
      <c r="I87" t="s">
        <v>379</v>
      </c>
      <c r="K87" t="s">
        <v>1052</v>
      </c>
      <c r="L87" t="s">
        <v>78</v>
      </c>
      <c r="M87" t="s">
        <v>1342</v>
      </c>
      <c r="N87" t="s">
        <v>1365</v>
      </c>
      <c r="P87" t="s">
        <v>1034</v>
      </c>
      <c r="Q87" t="s">
        <v>1366</v>
      </c>
      <c r="T87" t="s">
        <v>1313</v>
      </c>
      <c r="U87" t="s">
        <v>1024</v>
      </c>
    </row>
    <row r="88" spans="1:25" x14ac:dyDescent="0.35">
      <c r="A88" t="s">
        <v>531</v>
      </c>
      <c r="B88" t="s">
        <v>21</v>
      </c>
      <c r="C88" t="s">
        <v>797</v>
      </c>
      <c r="D88" t="s">
        <v>863</v>
      </c>
      <c r="E88" t="s">
        <v>78</v>
      </c>
      <c r="F88" t="s">
        <v>1136</v>
      </c>
      <c r="G88" t="s">
        <v>1371</v>
      </c>
      <c r="H88" t="s">
        <v>1372</v>
      </c>
      <c r="I88" t="s">
        <v>16</v>
      </c>
      <c r="K88" t="s">
        <v>1052</v>
      </c>
      <c r="L88" t="s">
        <v>78</v>
      </c>
      <c r="M88" t="s">
        <v>1342</v>
      </c>
      <c r="N88" t="s">
        <v>1365</v>
      </c>
      <c r="P88" t="s">
        <v>1034</v>
      </c>
      <c r="Q88" t="s">
        <v>1366</v>
      </c>
      <c r="R88" t="s">
        <v>1373</v>
      </c>
      <c r="T88" t="s">
        <v>1313</v>
      </c>
      <c r="U88" t="s">
        <v>1024</v>
      </c>
    </row>
    <row r="89" spans="1:25" x14ac:dyDescent="0.35">
      <c r="A89" t="s">
        <v>531</v>
      </c>
      <c r="B89" t="s">
        <v>21</v>
      </c>
      <c r="C89" t="s">
        <v>915</v>
      </c>
      <c r="D89" t="s">
        <v>785</v>
      </c>
      <c r="E89" t="s">
        <v>78</v>
      </c>
      <c r="F89" t="s">
        <v>1374</v>
      </c>
      <c r="G89" t="s">
        <v>1375</v>
      </c>
      <c r="H89" t="s">
        <v>1376</v>
      </c>
      <c r="I89" t="s">
        <v>16</v>
      </c>
      <c r="K89" t="s">
        <v>1052</v>
      </c>
      <c r="L89" t="s">
        <v>78</v>
      </c>
      <c r="M89" t="s">
        <v>1342</v>
      </c>
      <c r="N89" t="s">
        <v>1365</v>
      </c>
      <c r="P89" t="s">
        <v>1034</v>
      </c>
      <c r="Q89" t="s">
        <v>1366</v>
      </c>
      <c r="R89" t="s">
        <v>1377</v>
      </c>
      <c r="T89" t="s">
        <v>1378</v>
      </c>
      <c r="U89" t="s">
        <v>1024</v>
      </c>
    </row>
    <row r="90" spans="1:25" x14ac:dyDescent="0.35">
      <c r="A90" t="s">
        <v>531</v>
      </c>
      <c r="B90" t="s">
        <v>21</v>
      </c>
      <c r="C90" t="s">
        <v>915</v>
      </c>
      <c r="D90" t="s">
        <v>785</v>
      </c>
      <c r="E90" t="s">
        <v>78</v>
      </c>
      <c r="F90" t="s">
        <v>1136</v>
      </c>
      <c r="G90" t="s">
        <v>1379</v>
      </c>
      <c r="H90" t="s">
        <v>1380</v>
      </c>
      <c r="I90" t="s">
        <v>16</v>
      </c>
      <c r="K90" t="s">
        <v>1052</v>
      </c>
      <c r="L90" t="s">
        <v>78</v>
      </c>
      <c r="M90" t="s">
        <v>1342</v>
      </c>
      <c r="N90" t="s">
        <v>1365</v>
      </c>
      <c r="P90" t="s">
        <v>1034</v>
      </c>
      <c r="Q90" t="s">
        <v>1366</v>
      </c>
      <c r="R90" t="s">
        <v>1381</v>
      </c>
      <c r="T90" t="s">
        <v>1382</v>
      </c>
      <c r="U90" t="s">
        <v>1024</v>
      </c>
    </row>
    <row r="91" spans="1:25" x14ac:dyDescent="0.35">
      <c r="A91" t="s">
        <v>531</v>
      </c>
      <c r="B91" t="s">
        <v>21</v>
      </c>
      <c r="C91" t="s">
        <v>915</v>
      </c>
      <c r="D91" t="s">
        <v>785</v>
      </c>
      <c r="E91" t="s">
        <v>78</v>
      </c>
      <c r="F91" t="s">
        <v>816</v>
      </c>
      <c r="G91" t="s">
        <v>1383</v>
      </c>
      <c r="H91" t="s">
        <v>1384</v>
      </c>
      <c r="I91" t="s">
        <v>16</v>
      </c>
      <c r="K91" t="s">
        <v>1052</v>
      </c>
      <c r="L91" t="s">
        <v>78</v>
      </c>
      <c r="M91" t="s">
        <v>1342</v>
      </c>
      <c r="N91" t="s">
        <v>1365</v>
      </c>
      <c r="P91" t="s">
        <v>1034</v>
      </c>
      <c r="Q91" t="s">
        <v>1366</v>
      </c>
      <c r="R91" t="s">
        <v>1385</v>
      </c>
      <c r="T91" t="s">
        <v>1386</v>
      </c>
      <c r="U91" t="s">
        <v>1024</v>
      </c>
    </row>
    <row r="92" spans="1:25" x14ac:dyDescent="0.35">
      <c r="A92" t="s">
        <v>531</v>
      </c>
      <c r="B92" t="s">
        <v>21</v>
      </c>
      <c r="C92" t="s">
        <v>915</v>
      </c>
      <c r="D92" t="s">
        <v>785</v>
      </c>
      <c r="E92" t="s">
        <v>78</v>
      </c>
      <c r="F92" t="s">
        <v>788</v>
      </c>
      <c r="G92" t="s">
        <v>1387</v>
      </c>
      <c r="H92" t="s">
        <v>1388</v>
      </c>
      <c r="I92" t="s">
        <v>16</v>
      </c>
      <c r="K92" t="s">
        <v>1052</v>
      </c>
      <c r="L92" t="s">
        <v>78</v>
      </c>
      <c r="M92" t="s">
        <v>1342</v>
      </c>
      <c r="N92" t="s">
        <v>1365</v>
      </c>
      <c r="P92" t="s">
        <v>1034</v>
      </c>
      <c r="Q92" t="s">
        <v>1366</v>
      </c>
      <c r="R92" t="s">
        <v>1180</v>
      </c>
      <c r="T92" t="s">
        <v>1368</v>
      </c>
      <c r="U92" t="s">
        <v>1007</v>
      </c>
    </row>
    <row r="93" spans="1:25" x14ac:dyDescent="0.35">
      <c r="A93" t="s">
        <v>531</v>
      </c>
      <c r="B93" t="s">
        <v>21</v>
      </c>
      <c r="C93" t="s">
        <v>807</v>
      </c>
      <c r="D93" t="s">
        <v>807</v>
      </c>
      <c r="E93" t="s">
        <v>207</v>
      </c>
      <c r="F93" t="s">
        <v>808</v>
      </c>
      <c r="G93" t="s">
        <v>1389</v>
      </c>
      <c r="H93" t="s">
        <v>1390</v>
      </c>
      <c r="I93" t="s">
        <v>379</v>
      </c>
      <c r="K93" t="s">
        <v>1052</v>
      </c>
      <c r="L93" t="s">
        <v>207</v>
      </c>
      <c r="M93" t="s">
        <v>1342</v>
      </c>
      <c r="N93" t="s">
        <v>1365</v>
      </c>
      <c r="P93" t="s">
        <v>1034</v>
      </c>
      <c r="Q93" t="s">
        <v>1391</v>
      </c>
      <c r="R93" t="s">
        <v>1392</v>
      </c>
      <c r="U93" t="s">
        <v>1024</v>
      </c>
    </row>
    <row r="94" spans="1:25" x14ac:dyDescent="0.35">
      <c r="A94" t="s">
        <v>531</v>
      </c>
      <c r="B94" t="s">
        <v>21</v>
      </c>
      <c r="C94" t="s">
        <v>267</v>
      </c>
      <c r="D94" t="s">
        <v>267</v>
      </c>
      <c r="E94" t="s">
        <v>267</v>
      </c>
      <c r="F94" t="s">
        <v>948</v>
      </c>
      <c r="G94" t="s">
        <v>1393</v>
      </c>
      <c r="H94" t="s">
        <v>1394</v>
      </c>
      <c r="I94" t="s">
        <v>16</v>
      </c>
      <c r="K94" t="s">
        <v>1052</v>
      </c>
      <c r="L94" t="s">
        <v>207</v>
      </c>
      <c r="M94" t="s">
        <v>1342</v>
      </c>
      <c r="N94" t="s">
        <v>1365</v>
      </c>
      <c r="P94" t="s">
        <v>1034</v>
      </c>
      <c r="Q94" t="s">
        <v>1391</v>
      </c>
      <c r="R94" t="s">
        <v>1395</v>
      </c>
      <c r="U94" t="s">
        <v>1024</v>
      </c>
    </row>
    <row r="95" spans="1:25" x14ac:dyDescent="0.35">
      <c r="A95" t="s">
        <v>531</v>
      </c>
      <c r="B95" t="s">
        <v>21</v>
      </c>
      <c r="C95" t="s">
        <v>797</v>
      </c>
      <c r="D95" t="s">
        <v>797</v>
      </c>
      <c r="E95" t="s">
        <v>798</v>
      </c>
      <c r="F95" t="s">
        <v>1136</v>
      </c>
      <c r="G95" t="s">
        <v>1396</v>
      </c>
      <c r="H95" t="s">
        <v>1397</v>
      </c>
      <c r="I95" t="s">
        <v>379</v>
      </c>
      <c r="K95" t="s">
        <v>1052</v>
      </c>
      <c r="L95" t="s">
        <v>798</v>
      </c>
      <c r="M95" t="s">
        <v>1342</v>
      </c>
      <c r="N95" t="s">
        <v>1365</v>
      </c>
      <c r="P95" t="s">
        <v>1034</v>
      </c>
      <c r="Q95" t="s">
        <v>1398</v>
      </c>
      <c r="R95" t="s">
        <v>1399</v>
      </c>
      <c r="U95" t="s">
        <v>1007</v>
      </c>
    </row>
    <row r="96" spans="1:25" x14ac:dyDescent="0.35">
      <c r="A96" t="s">
        <v>531</v>
      </c>
      <c r="B96" t="s">
        <v>21</v>
      </c>
      <c r="C96" t="s">
        <v>759</v>
      </c>
      <c r="D96" t="s">
        <v>759</v>
      </c>
      <c r="E96" t="s">
        <v>78</v>
      </c>
      <c r="F96" t="s">
        <v>1136</v>
      </c>
      <c r="G96" t="s">
        <v>1400</v>
      </c>
      <c r="H96" t="s">
        <v>1401</v>
      </c>
      <c r="I96" t="s">
        <v>16</v>
      </c>
      <c r="K96" t="s">
        <v>1052</v>
      </c>
      <c r="L96" t="s">
        <v>78</v>
      </c>
      <c r="M96" t="s">
        <v>1342</v>
      </c>
      <c r="N96" t="s">
        <v>1402</v>
      </c>
      <c r="P96" t="s">
        <v>1034</v>
      </c>
      <c r="Q96" t="s">
        <v>1366</v>
      </c>
      <c r="R96" t="s">
        <v>1403</v>
      </c>
      <c r="T96" t="s">
        <v>1313</v>
      </c>
      <c r="U96" t="s">
        <v>1007</v>
      </c>
    </row>
    <row r="97" spans="1:21" x14ac:dyDescent="0.35">
      <c r="A97" t="s">
        <v>531</v>
      </c>
      <c r="B97" t="s">
        <v>21</v>
      </c>
      <c r="C97" t="s">
        <v>759</v>
      </c>
      <c r="D97" t="s">
        <v>759</v>
      </c>
      <c r="E97" t="s">
        <v>533</v>
      </c>
      <c r="F97" t="s">
        <v>1136</v>
      </c>
      <c r="G97" t="s">
        <v>1400</v>
      </c>
      <c r="H97" t="s">
        <v>1404</v>
      </c>
      <c r="I97" t="s">
        <v>16</v>
      </c>
      <c r="K97" t="s">
        <v>1052</v>
      </c>
      <c r="L97" t="s">
        <v>78</v>
      </c>
      <c r="M97" t="s">
        <v>1342</v>
      </c>
      <c r="N97" t="s">
        <v>1402</v>
      </c>
      <c r="P97" t="s">
        <v>1034</v>
      </c>
      <c r="Q97" t="s">
        <v>1366</v>
      </c>
      <c r="R97" t="s">
        <v>1405</v>
      </c>
      <c r="T97" t="s">
        <v>1313</v>
      </c>
      <c r="U97" t="s">
        <v>1007</v>
      </c>
    </row>
    <row r="98" spans="1:21" hidden="1" x14ac:dyDescent="0.35">
      <c r="A98" t="s">
        <v>56</v>
      </c>
      <c r="B98" t="s">
        <v>20</v>
      </c>
      <c r="C98" t="s">
        <v>267</v>
      </c>
      <c r="D98" t="s">
        <v>267</v>
      </c>
      <c r="E98" t="s">
        <v>1406</v>
      </c>
      <c r="F98" t="s">
        <v>269</v>
      </c>
      <c r="G98" t="s">
        <v>1407</v>
      </c>
      <c r="H98" t="s">
        <v>1408</v>
      </c>
      <c r="I98" t="s">
        <v>16</v>
      </c>
      <c r="K98" t="s">
        <v>1052</v>
      </c>
      <c r="L98" t="s">
        <v>1409</v>
      </c>
      <c r="M98" t="s">
        <v>1000</v>
      </c>
      <c r="P98" t="s">
        <v>998</v>
      </c>
      <c r="R98" t="s">
        <v>1410</v>
      </c>
      <c r="T98" t="s">
        <v>1107</v>
      </c>
      <c r="U98" t="s">
        <v>1007</v>
      </c>
    </row>
    <row r="99" spans="1:21" hidden="1" x14ac:dyDescent="0.35">
      <c r="A99" t="s">
        <v>56</v>
      </c>
      <c r="B99" t="s">
        <v>19</v>
      </c>
      <c r="C99" t="s">
        <v>135</v>
      </c>
      <c r="D99" t="s">
        <v>135</v>
      </c>
      <c r="E99" t="s">
        <v>78</v>
      </c>
      <c r="F99" t="s">
        <v>175</v>
      </c>
      <c r="G99" t="s">
        <v>176</v>
      </c>
      <c r="H99" t="s">
        <v>1411</v>
      </c>
      <c r="I99" t="s">
        <v>16</v>
      </c>
      <c r="K99" t="s">
        <v>1052</v>
      </c>
      <c r="L99" t="s">
        <v>78</v>
      </c>
      <c r="M99" t="s">
        <v>1000</v>
      </c>
      <c r="N99" t="s">
        <v>1365</v>
      </c>
      <c r="P99" t="s">
        <v>998</v>
      </c>
      <c r="Q99" t="s">
        <v>1412</v>
      </c>
      <c r="R99" t="s">
        <v>1413</v>
      </c>
      <c r="S99" t="s">
        <v>1414</v>
      </c>
      <c r="T99" t="s">
        <v>1415</v>
      </c>
      <c r="U99" t="s">
        <v>1007</v>
      </c>
    </row>
    <row r="100" spans="1:21" hidden="1" x14ac:dyDescent="0.35">
      <c r="A100" t="s">
        <v>56</v>
      </c>
      <c r="B100" t="s">
        <v>19</v>
      </c>
      <c r="C100" t="s">
        <v>135</v>
      </c>
      <c r="D100" t="s">
        <v>135</v>
      </c>
      <c r="E100" t="s">
        <v>78</v>
      </c>
      <c r="F100" t="s">
        <v>164</v>
      </c>
      <c r="G100" t="s">
        <v>1416</v>
      </c>
      <c r="H100" t="s">
        <v>1417</v>
      </c>
      <c r="I100" t="s">
        <v>16</v>
      </c>
      <c r="K100" t="s">
        <v>1052</v>
      </c>
      <c r="L100" t="s">
        <v>78</v>
      </c>
      <c r="M100" t="s">
        <v>1000</v>
      </c>
      <c r="N100" t="s">
        <v>1365</v>
      </c>
      <c r="P100" t="s">
        <v>998</v>
      </c>
      <c r="Q100" t="s">
        <v>1418</v>
      </c>
      <c r="R100" t="s">
        <v>1419</v>
      </c>
      <c r="S100" t="s">
        <v>1420</v>
      </c>
      <c r="T100" t="s">
        <v>1415</v>
      </c>
      <c r="U100" t="s">
        <v>1007</v>
      </c>
    </row>
    <row r="101" spans="1:21" hidden="1" x14ac:dyDescent="0.35">
      <c r="A101" t="s">
        <v>56</v>
      </c>
      <c r="B101" t="s">
        <v>19</v>
      </c>
      <c r="C101" t="s">
        <v>148</v>
      </c>
      <c r="D101" t="s">
        <v>148</v>
      </c>
      <c r="E101" t="s">
        <v>78</v>
      </c>
      <c r="F101" t="s">
        <v>1136</v>
      </c>
      <c r="G101" t="s">
        <v>155</v>
      </c>
      <c r="H101" t="s">
        <v>1421</v>
      </c>
      <c r="I101" t="s">
        <v>16</v>
      </c>
      <c r="K101" t="s">
        <v>1052</v>
      </c>
      <c r="L101" t="s">
        <v>78</v>
      </c>
      <c r="M101" t="s">
        <v>1000</v>
      </c>
      <c r="P101" t="s">
        <v>998</v>
      </c>
      <c r="Q101" t="s">
        <v>1422</v>
      </c>
      <c r="R101" t="s">
        <v>1423</v>
      </c>
      <c r="S101" t="s">
        <v>1424</v>
      </c>
      <c r="T101" t="s">
        <v>1425</v>
      </c>
      <c r="U101" t="s">
        <v>1007</v>
      </c>
    </row>
    <row r="102" spans="1:21" hidden="1" x14ac:dyDescent="0.35">
      <c r="A102" t="s">
        <v>56</v>
      </c>
      <c r="B102" t="s">
        <v>57</v>
      </c>
      <c r="C102" t="s">
        <v>58</v>
      </c>
      <c r="D102" t="s">
        <v>58</v>
      </c>
      <c r="E102" t="s">
        <v>1426</v>
      </c>
      <c r="F102" t="s">
        <v>60</v>
      </c>
      <c r="G102" t="s">
        <v>61</v>
      </c>
      <c r="H102" t="s">
        <v>1427</v>
      </c>
      <c r="I102" t="s">
        <v>16</v>
      </c>
      <c r="K102" t="s">
        <v>1052</v>
      </c>
      <c r="L102" t="s">
        <v>1426</v>
      </c>
      <c r="M102" t="s">
        <v>1000</v>
      </c>
      <c r="P102" t="s">
        <v>998</v>
      </c>
      <c r="R102" t="s">
        <v>1428</v>
      </c>
    </row>
    <row r="103" spans="1:21" hidden="1" x14ac:dyDescent="0.35">
      <c r="A103" t="s">
        <v>56</v>
      </c>
      <c r="B103" t="s">
        <v>526</v>
      </c>
      <c r="C103" t="s">
        <v>526</v>
      </c>
      <c r="D103" t="s">
        <v>526</v>
      </c>
      <c r="E103" t="s">
        <v>527</v>
      </c>
      <c r="F103" t="s">
        <v>1136</v>
      </c>
      <c r="G103" t="s">
        <v>528</v>
      </c>
      <c r="H103" t="s">
        <v>527</v>
      </c>
      <c r="I103" t="s">
        <v>16</v>
      </c>
      <c r="K103" t="s">
        <v>1052</v>
      </c>
      <c r="L103" t="s">
        <v>527</v>
      </c>
      <c r="M103" t="s">
        <v>1000</v>
      </c>
      <c r="P103" t="s">
        <v>998</v>
      </c>
      <c r="R103" t="s">
        <v>1429</v>
      </c>
    </row>
    <row r="104" spans="1:21" hidden="1" x14ac:dyDescent="0.35">
      <c r="A104" t="s">
        <v>56</v>
      </c>
      <c r="B104" t="s">
        <v>19</v>
      </c>
      <c r="C104" t="s">
        <v>135</v>
      </c>
      <c r="D104" t="s">
        <v>135</v>
      </c>
      <c r="E104" t="s">
        <v>1426</v>
      </c>
      <c r="F104" t="s">
        <v>143</v>
      </c>
      <c r="G104" t="s">
        <v>144</v>
      </c>
      <c r="H104" t="s">
        <v>1430</v>
      </c>
      <c r="I104" t="s">
        <v>16</v>
      </c>
      <c r="K104" t="s">
        <v>1052</v>
      </c>
      <c r="L104" t="s">
        <v>1426</v>
      </c>
      <c r="M104" t="s">
        <v>1000</v>
      </c>
      <c r="N104" t="s">
        <v>1365</v>
      </c>
      <c r="P104" t="s">
        <v>998</v>
      </c>
      <c r="R104" t="s">
        <v>1428</v>
      </c>
      <c r="S104" t="s">
        <v>1431</v>
      </c>
    </row>
    <row r="105" spans="1:21" hidden="1" x14ac:dyDescent="0.35">
      <c r="A105" t="s">
        <v>56</v>
      </c>
      <c r="B105" t="s">
        <v>19</v>
      </c>
      <c r="C105" t="s">
        <v>135</v>
      </c>
      <c r="D105" t="s">
        <v>135</v>
      </c>
      <c r="E105" t="s">
        <v>169</v>
      </c>
      <c r="F105" t="s">
        <v>1136</v>
      </c>
      <c r="G105" t="s">
        <v>171</v>
      </c>
      <c r="H105" t="s">
        <v>172</v>
      </c>
      <c r="I105" t="s">
        <v>16</v>
      </c>
      <c r="K105" t="s">
        <v>1052</v>
      </c>
      <c r="L105" t="s">
        <v>169</v>
      </c>
      <c r="M105" t="s">
        <v>1000</v>
      </c>
      <c r="N105" t="s">
        <v>1365</v>
      </c>
      <c r="P105" t="s">
        <v>998</v>
      </c>
      <c r="Q105" t="s">
        <v>1432</v>
      </c>
      <c r="R105" t="s">
        <v>1140</v>
      </c>
      <c r="S105" t="s">
        <v>1424</v>
      </c>
      <c r="T105" t="s">
        <v>1433</v>
      </c>
      <c r="U105" t="s">
        <v>1007</v>
      </c>
    </row>
    <row r="106" spans="1:21" hidden="1" x14ac:dyDescent="0.35">
      <c r="A106" t="s">
        <v>56</v>
      </c>
      <c r="B106" t="s">
        <v>19</v>
      </c>
      <c r="C106" t="s">
        <v>135</v>
      </c>
      <c r="D106" t="s">
        <v>135</v>
      </c>
      <c r="E106" t="s">
        <v>159</v>
      </c>
      <c r="F106" t="s">
        <v>1136</v>
      </c>
      <c r="G106" t="s">
        <v>160</v>
      </c>
      <c r="H106" t="s">
        <v>161</v>
      </c>
      <c r="I106" t="s">
        <v>63</v>
      </c>
      <c r="K106" t="s">
        <v>1052</v>
      </c>
      <c r="L106" t="s">
        <v>159</v>
      </c>
      <c r="M106" t="s">
        <v>1000</v>
      </c>
      <c r="P106" t="s">
        <v>998</v>
      </c>
      <c r="R106" t="s">
        <v>1434</v>
      </c>
      <c r="T106" t="s">
        <v>1435</v>
      </c>
    </row>
    <row r="107" spans="1:21" x14ac:dyDescent="0.35">
      <c r="A107" t="s">
        <v>531</v>
      </c>
      <c r="B107" t="s">
        <v>21</v>
      </c>
      <c r="C107" t="s">
        <v>608</v>
      </c>
      <c r="D107" t="s">
        <v>608</v>
      </c>
      <c r="E107" t="s">
        <v>78</v>
      </c>
      <c r="F107" t="s">
        <v>1136</v>
      </c>
      <c r="G107" t="s">
        <v>616</v>
      </c>
      <c r="H107" t="s">
        <v>1436</v>
      </c>
      <c r="I107" t="s">
        <v>16</v>
      </c>
      <c r="K107" t="s">
        <v>1052</v>
      </c>
      <c r="L107" t="s">
        <v>78</v>
      </c>
      <c r="M107" t="s">
        <v>1342</v>
      </c>
      <c r="N107" t="s">
        <v>1351</v>
      </c>
      <c r="O107" t="s">
        <v>1238</v>
      </c>
      <c r="P107" t="s">
        <v>998</v>
      </c>
      <c r="Q107" t="s">
        <v>1366</v>
      </c>
      <c r="R107" t="s">
        <v>1403</v>
      </c>
      <c r="T107" t="s">
        <v>1362</v>
      </c>
      <c r="U107" t="s">
        <v>1024</v>
      </c>
    </row>
    <row r="108" spans="1:21" x14ac:dyDescent="0.35">
      <c r="A108" t="s">
        <v>531</v>
      </c>
      <c r="B108" t="s">
        <v>21</v>
      </c>
      <c r="C108" t="s">
        <v>533</v>
      </c>
      <c r="D108" t="s">
        <v>533</v>
      </c>
      <c r="E108" t="s">
        <v>78</v>
      </c>
      <c r="F108" t="s">
        <v>1136</v>
      </c>
      <c r="G108" t="s">
        <v>1437</v>
      </c>
      <c r="H108" t="s">
        <v>1438</v>
      </c>
      <c r="I108" t="s">
        <v>16</v>
      </c>
      <c r="K108" t="s">
        <v>1052</v>
      </c>
      <c r="L108" t="s">
        <v>78</v>
      </c>
      <c r="M108" t="s">
        <v>1342</v>
      </c>
      <c r="N108" t="s">
        <v>1365</v>
      </c>
      <c r="P108" t="s">
        <v>1034</v>
      </c>
      <c r="Q108" t="s">
        <v>1366</v>
      </c>
      <c r="R108" t="s">
        <v>1439</v>
      </c>
      <c r="T108" t="s">
        <v>1313</v>
      </c>
      <c r="U108" t="s">
        <v>1007</v>
      </c>
    </row>
    <row r="109" spans="1:21" x14ac:dyDescent="0.35">
      <c r="A109" t="s">
        <v>531</v>
      </c>
      <c r="B109" t="s">
        <v>21</v>
      </c>
      <c r="C109" t="s">
        <v>828</v>
      </c>
      <c r="D109" t="s">
        <v>828</v>
      </c>
      <c r="E109" t="s">
        <v>78</v>
      </c>
      <c r="F109" t="s">
        <v>1136</v>
      </c>
      <c r="G109" t="s">
        <v>829</v>
      </c>
      <c r="H109" t="s">
        <v>1440</v>
      </c>
      <c r="I109" t="s">
        <v>16</v>
      </c>
      <c r="K109" t="s">
        <v>1052</v>
      </c>
      <c r="L109" t="s">
        <v>78</v>
      </c>
      <c r="M109" t="s">
        <v>1342</v>
      </c>
      <c r="N109" t="s">
        <v>1365</v>
      </c>
      <c r="P109" t="s">
        <v>1034</v>
      </c>
      <c r="Q109" t="s">
        <v>1366</v>
      </c>
      <c r="R109" t="s">
        <v>1441</v>
      </c>
      <c r="T109" t="s">
        <v>1368</v>
      </c>
      <c r="U109" t="s">
        <v>1007</v>
      </c>
    </row>
    <row r="110" spans="1:21" x14ac:dyDescent="0.35">
      <c r="A110" t="s">
        <v>531</v>
      </c>
      <c r="B110" t="s">
        <v>21</v>
      </c>
      <c r="C110" t="s">
        <v>797</v>
      </c>
      <c r="D110" t="s">
        <v>858</v>
      </c>
      <c r="E110" t="s">
        <v>78</v>
      </c>
      <c r="F110" t="s">
        <v>1136</v>
      </c>
      <c r="G110" t="s">
        <v>1442</v>
      </c>
      <c r="H110" t="s">
        <v>1443</v>
      </c>
      <c r="I110" t="s">
        <v>16</v>
      </c>
      <c r="K110" t="s">
        <v>1052</v>
      </c>
      <c r="L110" t="s">
        <v>78</v>
      </c>
      <c r="M110" t="s">
        <v>1342</v>
      </c>
      <c r="N110" t="s">
        <v>1365</v>
      </c>
      <c r="P110" t="s">
        <v>1034</v>
      </c>
      <c r="Q110" t="s">
        <v>1366</v>
      </c>
      <c r="R110" t="s">
        <v>1444</v>
      </c>
      <c r="T110" t="s">
        <v>1313</v>
      </c>
      <c r="U110" t="s">
        <v>1024</v>
      </c>
    </row>
    <row r="111" spans="1:21" x14ac:dyDescent="0.35">
      <c r="A111" t="s">
        <v>531</v>
      </c>
      <c r="B111" t="s">
        <v>21</v>
      </c>
      <c r="C111" t="s">
        <v>797</v>
      </c>
      <c r="D111" t="s">
        <v>797</v>
      </c>
      <c r="E111" t="s">
        <v>78</v>
      </c>
      <c r="F111" t="s">
        <v>1136</v>
      </c>
      <c r="G111" t="s">
        <v>1445</v>
      </c>
      <c r="H111" t="s">
        <v>1446</v>
      </c>
      <c r="I111" t="s">
        <v>16</v>
      </c>
      <c r="K111" t="s">
        <v>1052</v>
      </c>
      <c r="L111" t="s">
        <v>78</v>
      </c>
      <c r="M111" t="s">
        <v>1342</v>
      </c>
      <c r="N111" t="s">
        <v>1365</v>
      </c>
      <c r="P111" t="s">
        <v>1034</v>
      </c>
      <c r="Q111" t="s">
        <v>1366</v>
      </c>
      <c r="R111" t="s">
        <v>1447</v>
      </c>
      <c r="T111" t="s">
        <v>1448</v>
      </c>
      <c r="U111" t="s">
        <v>1024</v>
      </c>
    </row>
    <row r="112" spans="1:21" x14ac:dyDescent="0.35">
      <c r="A112" t="s">
        <v>531</v>
      </c>
      <c r="B112" t="s">
        <v>21</v>
      </c>
      <c r="C112" t="s">
        <v>916</v>
      </c>
      <c r="D112" t="s">
        <v>916</v>
      </c>
      <c r="E112" t="s">
        <v>78</v>
      </c>
      <c r="F112" t="s">
        <v>1136</v>
      </c>
      <c r="G112" t="s">
        <v>1449</v>
      </c>
      <c r="H112" t="s">
        <v>1450</v>
      </c>
      <c r="I112" t="s">
        <v>16</v>
      </c>
      <c r="K112" t="s">
        <v>1052</v>
      </c>
      <c r="L112" t="s">
        <v>78</v>
      </c>
      <c r="M112" t="s">
        <v>1342</v>
      </c>
      <c r="N112" t="s">
        <v>1365</v>
      </c>
      <c r="P112" t="s">
        <v>1034</v>
      </c>
      <c r="Q112" t="s">
        <v>1366</v>
      </c>
      <c r="R112" t="s">
        <v>1447</v>
      </c>
      <c r="T112" t="s">
        <v>1448</v>
      </c>
      <c r="U112" t="s">
        <v>1024</v>
      </c>
    </row>
    <row r="113" spans="1:21" x14ac:dyDescent="0.35">
      <c r="A113" t="s">
        <v>531</v>
      </c>
      <c r="B113" t="s">
        <v>21</v>
      </c>
      <c r="C113" t="s">
        <v>916</v>
      </c>
      <c r="D113" t="s">
        <v>916</v>
      </c>
      <c r="E113" t="s">
        <v>78</v>
      </c>
      <c r="F113" t="s">
        <v>1136</v>
      </c>
      <c r="G113" t="s">
        <v>1451</v>
      </c>
      <c r="H113" t="s">
        <v>1452</v>
      </c>
      <c r="I113" t="s">
        <v>16</v>
      </c>
      <c r="K113" t="s">
        <v>1052</v>
      </c>
      <c r="L113" t="s">
        <v>78</v>
      </c>
      <c r="M113" t="s">
        <v>1342</v>
      </c>
      <c r="N113" t="s">
        <v>1365</v>
      </c>
      <c r="P113" t="s">
        <v>1034</v>
      </c>
      <c r="Q113" t="s">
        <v>1366</v>
      </c>
      <c r="R113" t="s">
        <v>1453</v>
      </c>
      <c r="T113" t="s">
        <v>1448</v>
      </c>
      <c r="U113" t="s">
        <v>1024</v>
      </c>
    </row>
    <row r="114" spans="1:21" x14ac:dyDescent="0.35">
      <c r="A114" t="s">
        <v>531</v>
      </c>
      <c r="B114" t="s">
        <v>21</v>
      </c>
      <c r="C114" t="s">
        <v>267</v>
      </c>
      <c r="D114" t="s">
        <v>267</v>
      </c>
      <c r="E114" t="s">
        <v>78</v>
      </c>
      <c r="F114" t="s">
        <v>1136</v>
      </c>
      <c r="G114" t="s">
        <v>1454</v>
      </c>
      <c r="H114" t="s">
        <v>1455</v>
      </c>
      <c r="I114" t="s">
        <v>16</v>
      </c>
      <c r="K114" t="s">
        <v>1052</v>
      </c>
      <c r="L114" t="s">
        <v>78</v>
      </c>
      <c r="M114" t="s">
        <v>1342</v>
      </c>
      <c r="N114" t="s">
        <v>1365</v>
      </c>
      <c r="P114" t="s">
        <v>1034</v>
      </c>
      <c r="Q114" t="s">
        <v>1366</v>
      </c>
      <c r="R114" t="s">
        <v>1456</v>
      </c>
      <c r="T114" t="s">
        <v>1448</v>
      </c>
      <c r="U114" t="s">
        <v>1024</v>
      </c>
    </row>
    <row r="115" spans="1:21" x14ac:dyDescent="0.35">
      <c r="A115" t="s">
        <v>531</v>
      </c>
      <c r="B115" t="s">
        <v>21</v>
      </c>
      <c r="C115" t="s">
        <v>267</v>
      </c>
      <c r="D115" t="s">
        <v>267</v>
      </c>
      <c r="E115" t="s">
        <v>78</v>
      </c>
      <c r="F115" t="s">
        <v>1136</v>
      </c>
      <c r="G115" t="s">
        <v>1457</v>
      </c>
      <c r="H115" t="s">
        <v>1458</v>
      </c>
      <c r="I115" t="s">
        <v>16</v>
      </c>
      <c r="K115" t="s">
        <v>1052</v>
      </c>
      <c r="L115" t="s">
        <v>78</v>
      </c>
      <c r="M115" t="s">
        <v>1342</v>
      </c>
      <c r="N115" t="s">
        <v>1365</v>
      </c>
      <c r="P115" t="s">
        <v>1034</v>
      </c>
      <c r="Q115" t="s">
        <v>1366</v>
      </c>
      <c r="R115" t="s">
        <v>1459</v>
      </c>
      <c r="T115" t="s">
        <v>1448</v>
      </c>
      <c r="U115" t="s">
        <v>1024</v>
      </c>
    </row>
    <row r="116" spans="1:21" x14ac:dyDescent="0.35">
      <c r="A116" t="s">
        <v>531</v>
      </c>
      <c r="B116" t="s">
        <v>21</v>
      </c>
      <c r="C116" t="s">
        <v>759</v>
      </c>
      <c r="D116" t="s">
        <v>759</v>
      </c>
      <c r="E116" t="s">
        <v>78</v>
      </c>
      <c r="F116" t="s">
        <v>767</v>
      </c>
      <c r="G116" t="s">
        <v>1460</v>
      </c>
      <c r="H116" t="s">
        <v>1461</v>
      </c>
      <c r="I116" t="s">
        <v>379</v>
      </c>
      <c r="K116" t="s">
        <v>1052</v>
      </c>
      <c r="L116" t="s">
        <v>78</v>
      </c>
      <c r="M116" t="s">
        <v>1342</v>
      </c>
      <c r="N116" t="s">
        <v>1402</v>
      </c>
      <c r="P116" t="s">
        <v>1034</v>
      </c>
      <c r="Q116" t="s">
        <v>1366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F4E0B-DE20-4B3C-8DAD-04ADF831769F}">
  <sheetPr codeName="Feuil3"/>
  <dimension ref="A1:L52"/>
  <sheetViews>
    <sheetView zoomScale="85" zoomScaleNormal="85" workbookViewId="0">
      <selection activeCell="A25" sqref="A25"/>
    </sheetView>
  </sheetViews>
  <sheetFormatPr baseColWidth="10" defaultColWidth="11.453125" defaultRowHeight="14.5" x14ac:dyDescent="0.35"/>
  <cols>
    <col min="1" max="1" width="11" bestFit="1" customWidth="1"/>
    <col min="3" max="3" width="30.54296875" bestFit="1" customWidth="1"/>
    <col min="4" max="4" width="11" bestFit="1" customWidth="1"/>
    <col min="5" max="5" width="10.54296875" bestFit="1" customWidth="1"/>
    <col min="6" max="6" width="6.81640625" bestFit="1" customWidth="1"/>
    <col min="7" max="7" width="23.453125" bestFit="1" customWidth="1"/>
    <col min="8" max="8" width="18.1796875" bestFit="1" customWidth="1"/>
    <col min="9" max="9" width="15" bestFit="1" customWidth="1"/>
    <col min="10" max="10" width="141.453125" bestFit="1" customWidth="1"/>
    <col min="11" max="11" width="19.81640625" customWidth="1"/>
    <col min="12" max="12" width="141.81640625" bestFit="1" customWidth="1"/>
  </cols>
  <sheetData>
    <row r="1" spans="1:12" x14ac:dyDescent="0.35">
      <c r="A1" t="s">
        <v>1462</v>
      </c>
      <c r="B1" t="s">
        <v>1463</v>
      </c>
      <c r="C1" t="s">
        <v>8</v>
      </c>
      <c r="D1" t="s">
        <v>1464</v>
      </c>
      <c r="E1" t="s">
        <v>1465</v>
      </c>
      <c r="F1" t="s">
        <v>1466</v>
      </c>
      <c r="G1" t="s">
        <v>1467</v>
      </c>
      <c r="H1" t="s">
        <v>1468</v>
      </c>
      <c r="I1" t="s">
        <v>1469</v>
      </c>
      <c r="J1" t="s">
        <v>1470</v>
      </c>
      <c r="K1" t="s">
        <v>1471</v>
      </c>
      <c r="L1" t="s">
        <v>1472</v>
      </c>
    </row>
    <row r="2" spans="1:12" hidden="1" x14ac:dyDescent="0.35">
      <c r="A2" t="s">
        <v>78</v>
      </c>
      <c r="B2" t="s">
        <v>608</v>
      </c>
      <c r="C2" t="s">
        <v>1473</v>
      </c>
      <c r="D2" t="s">
        <v>607</v>
      </c>
      <c r="E2">
        <v>30303</v>
      </c>
      <c r="F2" t="s">
        <v>611</v>
      </c>
      <c r="G2" t="s">
        <v>1474</v>
      </c>
      <c r="H2" t="s">
        <v>1475</v>
      </c>
      <c r="I2">
        <v>1</v>
      </c>
      <c r="J2" t="s">
        <v>1476</v>
      </c>
      <c r="K2">
        <v>686443</v>
      </c>
      <c r="L2" t="s">
        <v>1477</v>
      </c>
    </row>
    <row r="3" spans="1:12" hidden="1" x14ac:dyDescent="0.35">
      <c r="A3" t="s">
        <v>78</v>
      </c>
      <c r="B3" t="s">
        <v>608</v>
      </c>
      <c r="C3" t="s">
        <v>1473</v>
      </c>
      <c r="D3" t="s">
        <v>607</v>
      </c>
      <c r="E3">
        <v>30303</v>
      </c>
      <c r="F3" t="s">
        <v>611</v>
      </c>
      <c r="G3" t="s">
        <v>1474</v>
      </c>
      <c r="H3" t="s">
        <v>1478</v>
      </c>
      <c r="I3">
        <v>1</v>
      </c>
      <c r="J3" t="s">
        <v>1479</v>
      </c>
      <c r="K3">
        <v>10748</v>
      </c>
    </row>
    <row r="4" spans="1:12" hidden="1" x14ac:dyDescent="0.35">
      <c r="A4" t="s">
        <v>78</v>
      </c>
      <c r="B4" t="s">
        <v>759</v>
      </c>
      <c r="C4" t="s">
        <v>1480</v>
      </c>
      <c r="D4" t="s">
        <v>1481</v>
      </c>
      <c r="E4">
        <v>60616</v>
      </c>
      <c r="F4" t="s">
        <v>361</v>
      </c>
      <c r="G4" t="s">
        <v>1482</v>
      </c>
      <c r="H4" t="s">
        <v>1483</v>
      </c>
      <c r="I4">
        <v>1</v>
      </c>
      <c r="J4" t="s">
        <v>1484</v>
      </c>
      <c r="K4">
        <v>36421</v>
      </c>
    </row>
    <row r="5" spans="1:12" hidden="1" x14ac:dyDescent="0.35">
      <c r="A5" t="s">
        <v>78</v>
      </c>
      <c r="B5" t="s">
        <v>759</v>
      </c>
      <c r="C5" t="s">
        <v>1485</v>
      </c>
      <c r="D5" t="s">
        <v>1481</v>
      </c>
      <c r="E5">
        <v>60616</v>
      </c>
      <c r="F5" t="s">
        <v>766</v>
      </c>
      <c r="G5" t="s">
        <v>1486</v>
      </c>
      <c r="H5" t="s">
        <v>1487</v>
      </c>
      <c r="I5">
        <v>1</v>
      </c>
      <c r="J5" t="s">
        <v>1488</v>
      </c>
      <c r="K5">
        <v>27707</v>
      </c>
    </row>
    <row r="6" spans="1:12" hidden="1" x14ac:dyDescent="0.35">
      <c r="A6" t="s">
        <v>78</v>
      </c>
      <c r="B6" t="s">
        <v>759</v>
      </c>
      <c r="C6" t="s">
        <v>1489</v>
      </c>
      <c r="D6" t="s">
        <v>1481</v>
      </c>
      <c r="E6">
        <v>60616</v>
      </c>
      <c r="F6" t="s">
        <v>774</v>
      </c>
      <c r="G6" t="s">
        <v>1490</v>
      </c>
      <c r="H6" t="s">
        <v>1491</v>
      </c>
      <c r="I6">
        <v>1</v>
      </c>
      <c r="J6" t="s">
        <v>1492</v>
      </c>
      <c r="K6">
        <v>685320</v>
      </c>
    </row>
    <row r="7" spans="1:12" hidden="1" x14ac:dyDescent="0.35">
      <c r="A7" t="s">
        <v>78</v>
      </c>
      <c r="B7" t="s">
        <v>785</v>
      </c>
      <c r="C7" t="s">
        <v>1493</v>
      </c>
      <c r="D7" t="s">
        <v>775</v>
      </c>
      <c r="E7">
        <v>20147</v>
      </c>
      <c r="F7" t="s">
        <v>790</v>
      </c>
      <c r="G7" t="s">
        <v>1494</v>
      </c>
      <c r="H7" t="s">
        <v>1495</v>
      </c>
      <c r="I7">
        <v>5</v>
      </c>
      <c r="J7" t="s">
        <v>1496</v>
      </c>
      <c r="K7">
        <v>660076</v>
      </c>
    </row>
    <row r="8" spans="1:12" hidden="1" x14ac:dyDescent="0.35">
      <c r="A8" t="s">
        <v>78</v>
      </c>
      <c r="B8" t="s">
        <v>785</v>
      </c>
      <c r="C8" t="s">
        <v>1497</v>
      </c>
      <c r="D8" t="s">
        <v>775</v>
      </c>
      <c r="E8">
        <v>20147</v>
      </c>
      <c r="F8" t="s">
        <v>813</v>
      </c>
      <c r="G8" t="s">
        <v>1498</v>
      </c>
      <c r="H8" t="s">
        <v>1499</v>
      </c>
      <c r="I8">
        <v>1</v>
      </c>
      <c r="J8" t="s">
        <v>1492</v>
      </c>
      <c r="K8">
        <v>685320</v>
      </c>
    </row>
    <row r="9" spans="1:12" hidden="1" x14ac:dyDescent="0.35">
      <c r="A9" t="s">
        <v>78</v>
      </c>
      <c r="B9" t="s">
        <v>785</v>
      </c>
      <c r="C9" t="s">
        <v>1497</v>
      </c>
      <c r="D9" t="s">
        <v>775</v>
      </c>
      <c r="E9">
        <v>20147</v>
      </c>
      <c r="F9" t="s">
        <v>813</v>
      </c>
      <c r="G9" t="s">
        <v>1500</v>
      </c>
      <c r="H9" t="s">
        <v>1487</v>
      </c>
      <c r="I9">
        <v>1</v>
      </c>
      <c r="J9" t="s">
        <v>1501</v>
      </c>
      <c r="K9" t="s">
        <v>593</v>
      </c>
    </row>
    <row r="10" spans="1:12" hidden="1" x14ac:dyDescent="0.35">
      <c r="A10" t="s">
        <v>78</v>
      </c>
      <c r="B10" t="s">
        <v>785</v>
      </c>
      <c r="C10" t="s">
        <v>1497</v>
      </c>
      <c r="D10" t="s">
        <v>775</v>
      </c>
      <c r="E10">
        <v>20147</v>
      </c>
      <c r="F10" t="s">
        <v>813</v>
      </c>
      <c r="G10" t="s">
        <v>1502</v>
      </c>
      <c r="H10" t="s">
        <v>1503</v>
      </c>
      <c r="I10">
        <v>1</v>
      </c>
      <c r="J10" t="s">
        <v>1488</v>
      </c>
      <c r="K10">
        <v>27707</v>
      </c>
    </row>
    <row r="11" spans="1:12" hidden="1" x14ac:dyDescent="0.35">
      <c r="A11" t="s">
        <v>78</v>
      </c>
      <c r="B11" t="s">
        <v>785</v>
      </c>
      <c r="C11" t="s">
        <v>1504</v>
      </c>
      <c r="D11" t="s">
        <v>775</v>
      </c>
      <c r="E11">
        <v>20147</v>
      </c>
      <c r="F11" t="s">
        <v>818</v>
      </c>
      <c r="G11" t="s">
        <v>1505</v>
      </c>
      <c r="H11" t="s">
        <v>1495</v>
      </c>
      <c r="I11">
        <v>5</v>
      </c>
      <c r="J11" t="s">
        <v>1496</v>
      </c>
      <c r="K11">
        <v>660076</v>
      </c>
    </row>
    <row r="12" spans="1:12" hidden="1" x14ac:dyDescent="0.35">
      <c r="A12" t="s">
        <v>78</v>
      </c>
      <c r="B12" t="s">
        <v>785</v>
      </c>
      <c r="C12" t="s">
        <v>1504</v>
      </c>
      <c r="D12" t="s">
        <v>775</v>
      </c>
      <c r="E12">
        <v>20147</v>
      </c>
      <c r="F12" t="s">
        <v>818</v>
      </c>
      <c r="G12" t="s">
        <v>1506</v>
      </c>
      <c r="H12" t="s">
        <v>1507</v>
      </c>
      <c r="I12">
        <v>1</v>
      </c>
      <c r="J12" t="s">
        <v>1508</v>
      </c>
      <c r="K12">
        <v>9594</v>
      </c>
    </row>
    <row r="13" spans="1:12" hidden="1" x14ac:dyDescent="0.35">
      <c r="A13" t="s">
        <v>78</v>
      </c>
      <c r="B13" t="s">
        <v>785</v>
      </c>
      <c r="C13" t="s">
        <v>1504</v>
      </c>
      <c r="D13" t="s">
        <v>775</v>
      </c>
      <c r="E13">
        <v>20147</v>
      </c>
      <c r="F13" t="s">
        <v>818</v>
      </c>
      <c r="G13" t="s">
        <v>1509</v>
      </c>
      <c r="H13" t="s">
        <v>1510</v>
      </c>
      <c r="I13">
        <v>1</v>
      </c>
      <c r="J13" t="s">
        <v>1488</v>
      </c>
      <c r="K13">
        <v>27707</v>
      </c>
    </row>
    <row r="14" spans="1:12" hidden="1" x14ac:dyDescent="0.35">
      <c r="A14" t="s">
        <v>78</v>
      </c>
      <c r="B14" t="s">
        <v>785</v>
      </c>
      <c r="C14" t="s">
        <v>1504</v>
      </c>
      <c r="D14" t="s">
        <v>775</v>
      </c>
      <c r="E14">
        <v>20147</v>
      </c>
      <c r="F14" t="s">
        <v>818</v>
      </c>
      <c r="G14" t="s">
        <v>1509</v>
      </c>
      <c r="H14" t="s">
        <v>1511</v>
      </c>
      <c r="I14">
        <v>1</v>
      </c>
      <c r="J14" t="s">
        <v>1512</v>
      </c>
      <c r="K14">
        <v>674826</v>
      </c>
    </row>
    <row r="15" spans="1:12" hidden="1" x14ac:dyDescent="0.35">
      <c r="A15" t="s">
        <v>78</v>
      </c>
      <c r="B15" t="s">
        <v>785</v>
      </c>
      <c r="C15" t="s">
        <v>1504</v>
      </c>
      <c r="D15" t="s">
        <v>775</v>
      </c>
      <c r="E15">
        <v>20147</v>
      </c>
      <c r="F15" t="s">
        <v>818</v>
      </c>
      <c r="G15" t="s">
        <v>1513</v>
      </c>
      <c r="H15" t="s">
        <v>1507</v>
      </c>
      <c r="I15">
        <v>1</v>
      </c>
      <c r="J15" t="s">
        <v>1514</v>
      </c>
      <c r="K15">
        <v>686849</v>
      </c>
    </row>
    <row r="16" spans="1:12" hidden="1" x14ac:dyDescent="0.35">
      <c r="A16" t="s">
        <v>78</v>
      </c>
      <c r="B16" t="s">
        <v>785</v>
      </c>
      <c r="C16" t="s">
        <v>1504</v>
      </c>
      <c r="D16" t="s">
        <v>775</v>
      </c>
      <c r="E16">
        <v>20147</v>
      </c>
      <c r="F16" t="s">
        <v>818</v>
      </c>
      <c r="G16" t="s">
        <v>1509</v>
      </c>
      <c r="H16" t="s">
        <v>1515</v>
      </c>
      <c r="I16">
        <v>1</v>
      </c>
      <c r="J16" t="s">
        <v>1484</v>
      </c>
      <c r="K16">
        <v>36421</v>
      </c>
    </row>
    <row r="17" spans="1:12" hidden="1" x14ac:dyDescent="0.35">
      <c r="A17" t="s">
        <v>78</v>
      </c>
      <c r="B17" t="s">
        <v>858</v>
      </c>
      <c r="C17" t="s">
        <v>1516</v>
      </c>
      <c r="D17" t="s">
        <v>857</v>
      </c>
      <c r="E17" t="s">
        <v>1517</v>
      </c>
      <c r="F17" t="s">
        <v>800</v>
      </c>
      <c r="G17" t="s">
        <v>1518</v>
      </c>
      <c r="H17" t="s">
        <v>1519</v>
      </c>
      <c r="I17">
        <v>1</v>
      </c>
      <c r="J17" t="s">
        <v>1520</v>
      </c>
      <c r="K17">
        <v>9594</v>
      </c>
    </row>
    <row r="18" spans="1:12" hidden="1" x14ac:dyDescent="0.35">
      <c r="A18" t="s">
        <v>78</v>
      </c>
      <c r="B18" t="s">
        <v>863</v>
      </c>
      <c r="C18" t="s">
        <v>1521</v>
      </c>
      <c r="D18" t="s">
        <v>857</v>
      </c>
      <c r="E18" t="s">
        <v>1522</v>
      </c>
      <c r="F18" t="s">
        <v>866</v>
      </c>
      <c r="G18" t="s">
        <v>1523</v>
      </c>
      <c r="H18" t="s">
        <v>1524</v>
      </c>
      <c r="I18">
        <v>1</v>
      </c>
      <c r="J18" t="s">
        <v>1428</v>
      </c>
      <c r="K18">
        <v>684808</v>
      </c>
    </row>
    <row r="19" spans="1:12" hidden="1" x14ac:dyDescent="0.35">
      <c r="A19" t="s">
        <v>78</v>
      </c>
      <c r="B19" t="s">
        <v>863</v>
      </c>
      <c r="C19" t="s">
        <v>1525</v>
      </c>
      <c r="D19" t="s">
        <v>857</v>
      </c>
      <c r="E19" t="s">
        <v>1522</v>
      </c>
      <c r="F19" t="s">
        <v>874</v>
      </c>
      <c r="G19" t="s">
        <v>1526</v>
      </c>
      <c r="H19" t="s">
        <v>1527</v>
      </c>
      <c r="I19">
        <v>2</v>
      </c>
      <c r="J19" t="s">
        <v>1453</v>
      </c>
      <c r="K19">
        <v>9922</v>
      </c>
    </row>
    <row r="20" spans="1:12" hidden="1" x14ac:dyDescent="0.35">
      <c r="A20" t="s">
        <v>78</v>
      </c>
      <c r="B20" t="s">
        <v>797</v>
      </c>
      <c r="C20" t="s">
        <v>1528</v>
      </c>
      <c r="D20" t="s">
        <v>797</v>
      </c>
      <c r="E20">
        <v>10011</v>
      </c>
      <c r="F20" t="s">
        <v>883</v>
      </c>
      <c r="G20" t="s">
        <v>1529</v>
      </c>
      <c r="H20" t="s">
        <v>1530</v>
      </c>
      <c r="I20">
        <v>1</v>
      </c>
      <c r="J20" t="s">
        <v>1512</v>
      </c>
      <c r="K20">
        <v>674826</v>
      </c>
      <c r="L20" t="s">
        <v>1531</v>
      </c>
    </row>
    <row r="21" spans="1:12" hidden="1" x14ac:dyDescent="0.35">
      <c r="A21" t="s">
        <v>78</v>
      </c>
      <c r="B21" t="s">
        <v>916</v>
      </c>
      <c r="C21" t="s">
        <v>1532</v>
      </c>
      <c r="D21" t="s">
        <v>915</v>
      </c>
      <c r="E21">
        <v>98121</v>
      </c>
      <c r="F21" t="s">
        <v>919</v>
      </c>
      <c r="G21" t="s">
        <v>1533</v>
      </c>
      <c r="H21" t="s">
        <v>1534</v>
      </c>
      <c r="I21">
        <v>1</v>
      </c>
      <c r="J21" t="s">
        <v>1512</v>
      </c>
      <c r="K21">
        <v>674826</v>
      </c>
    </row>
    <row r="22" spans="1:12" hidden="1" x14ac:dyDescent="0.35">
      <c r="A22" t="s">
        <v>78</v>
      </c>
      <c r="B22" t="s">
        <v>916</v>
      </c>
      <c r="C22" t="s">
        <v>1532</v>
      </c>
      <c r="D22" t="s">
        <v>915</v>
      </c>
      <c r="E22">
        <v>98121</v>
      </c>
      <c r="F22" t="s">
        <v>919</v>
      </c>
      <c r="G22" t="s">
        <v>1535</v>
      </c>
      <c r="H22" t="s">
        <v>1530</v>
      </c>
      <c r="I22">
        <v>1</v>
      </c>
      <c r="J22" t="s">
        <v>1488</v>
      </c>
      <c r="K22">
        <v>27707</v>
      </c>
    </row>
    <row r="23" spans="1:12" hidden="1" x14ac:dyDescent="0.35">
      <c r="A23" t="s">
        <v>78</v>
      </c>
      <c r="B23" t="s">
        <v>916</v>
      </c>
      <c r="C23" t="s">
        <v>1536</v>
      </c>
      <c r="D23" t="s">
        <v>915</v>
      </c>
      <c r="E23">
        <v>98121</v>
      </c>
      <c r="F23" t="s">
        <v>924</v>
      </c>
      <c r="G23" t="s">
        <v>1537</v>
      </c>
      <c r="H23" t="s">
        <v>1538</v>
      </c>
      <c r="I23">
        <v>1</v>
      </c>
      <c r="J23" t="s">
        <v>1453</v>
      </c>
      <c r="K23">
        <v>9922</v>
      </c>
    </row>
    <row r="24" spans="1:12" hidden="1" x14ac:dyDescent="0.35">
      <c r="A24" t="s">
        <v>78</v>
      </c>
      <c r="B24" t="s">
        <v>916</v>
      </c>
      <c r="C24" t="s">
        <v>1536</v>
      </c>
      <c r="D24" t="s">
        <v>915</v>
      </c>
      <c r="E24">
        <v>98121</v>
      </c>
      <c r="F24" t="s">
        <v>924</v>
      </c>
      <c r="G24" t="s">
        <v>1537</v>
      </c>
      <c r="H24" t="s">
        <v>1524</v>
      </c>
      <c r="I24">
        <v>1</v>
      </c>
      <c r="J24" t="s">
        <v>1488</v>
      </c>
      <c r="K24">
        <v>27707</v>
      </c>
    </row>
    <row r="25" spans="1:12" x14ac:dyDescent="0.35">
      <c r="A25" t="s">
        <v>78</v>
      </c>
      <c r="B25" t="s">
        <v>267</v>
      </c>
      <c r="C25" t="s">
        <v>1539</v>
      </c>
      <c r="D25" t="s">
        <v>574</v>
      </c>
      <c r="E25">
        <v>95119</v>
      </c>
      <c r="F25" t="s">
        <v>929</v>
      </c>
      <c r="G25" t="s">
        <v>1540</v>
      </c>
      <c r="H25" t="s">
        <v>1483</v>
      </c>
      <c r="I25">
        <v>1</v>
      </c>
      <c r="J25" t="s">
        <v>1512</v>
      </c>
      <c r="K25">
        <v>674826</v>
      </c>
    </row>
    <row r="26" spans="1:12" x14ac:dyDescent="0.35">
      <c r="A26" t="s">
        <v>78</v>
      </c>
      <c r="B26" t="s">
        <v>267</v>
      </c>
      <c r="C26" t="s">
        <v>1541</v>
      </c>
      <c r="D26" t="s">
        <v>574</v>
      </c>
      <c r="E26">
        <v>95119</v>
      </c>
      <c r="F26" t="s">
        <v>945</v>
      </c>
      <c r="G26" t="s">
        <v>1542</v>
      </c>
      <c r="H26" t="s">
        <v>1524</v>
      </c>
      <c r="I26">
        <v>1</v>
      </c>
      <c r="J26" t="s">
        <v>1403</v>
      </c>
      <c r="K26">
        <v>672826</v>
      </c>
    </row>
    <row r="27" spans="1:12" x14ac:dyDescent="0.35">
      <c r="A27" t="s">
        <v>78</v>
      </c>
      <c r="B27" t="s">
        <v>267</v>
      </c>
      <c r="C27" t="s">
        <v>1541</v>
      </c>
      <c r="D27" t="s">
        <v>574</v>
      </c>
      <c r="E27">
        <v>95119</v>
      </c>
      <c r="F27" t="s">
        <v>945</v>
      </c>
      <c r="G27" t="s">
        <v>1543</v>
      </c>
      <c r="H27" t="s">
        <v>1544</v>
      </c>
      <c r="I27">
        <v>2</v>
      </c>
      <c r="J27" t="s">
        <v>1545</v>
      </c>
      <c r="K27">
        <v>686959</v>
      </c>
    </row>
    <row r="28" spans="1:12" x14ac:dyDescent="0.35">
      <c r="A28" t="s">
        <v>78</v>
      </c>
      <c r="B28" t="s">
        <v>267</v>
      </c>
      <c r="C28" t="s">
        <v>1546</v>
      </c>
      <c r="D28" t="s">
        <v>574</v>
      </c>
      <c r="E28">
        <v>95119</v>
      </c>
      <c r="F28" t="s">
        <v>934</v>
      </c>
      <c r="G28" t="s">
        <v>1547</v>
      </c>
      <c r="H28" t="s">
        <v>1548</v>
      </c>
      <c r="I28">
        <v>2</v>
      </c>
      <c r="J28" t="s">
        <v>1453</v>
      </c>
      <c r="K28">
        <v>9922</v>
      </c>
    </row>
    <row r="29" spans="1:12" x14ac:dyDescent="0.35">
      <c r="A29" t="s">
        <v>78</v>
      </c>
      <c r="B29" t="s">
        <v>267</v>
      </c>
      <c r="C29" t="s">
        <v>1546</v>
      </c>
      <c r="D29" t="s">
        <v>574</v>
      </c>
      <c r="E29">
        <v>95119</v>
      </c>
      <c r="F29" t="s">
        <v>934</v>
      </c>
      <c r="G29" t="s">
        <v>1547</v>
      </c>
      <c r="H29" t="s">
        <v>1549</v>
      </c>
      <c r="I29">
        <v>1</v>
      </c>
      <c r="J29" t="s">
        <v>1329</v>
      </c>
    </row>
    <row r="30" spans="1:12" hidden="1" x14ac:dyDescent="0.35">
      <c r="A30" t="s">
        <v>78</v>
      </c>
      <c r="B30" t="s">
        <v>608</v>
      </c>
      <c r="C30" t="s">
        <v>1473</v>
      </c>
      <c r="D30" t="s">
        <v>607</v>
      </c>
      <c r="E30">
        <v>30303</v>
      </c>
      <c r="F30" t="s">
        <v>611</v>
      </c>
      <c r="G30" t="s">
        <v>1550</v>
      </c>
      <c r="H30" t="s">
        <v>1551</v>
      </c>
      <c r="I30">
        <v>26</v>
      </c>
      <c r="J30" t="s">
        <v>1552</v>
      </c>
      <c r="K30" t="s">
        <v>593</v>
      </c>
    </row>
    <row r="31" spans="1:12" x14ac:dyDescent="0.35">
      <c r="A31" t="s">
        <v>78</v>
      </c>
      <c r="B31" t="s">
        <v>267</v>
      </c>
      <c r="C31" t="s">
        <v>1541</v>
      </c>
      <c r="D31" t="s">
        <v>574</v>
      </c>
      <c r="E31">
        <v>95119</v>
      </c>
      <c r="F31" t="s">
        <v>945</v>
      </c>
      <c r="G31" t="s">
        <v>1543</v>
      </c>
      <c r="H31" t="s">
        <v>1553</v>
      </c>
      <c r="I31">
        <v>3</v>
      </c>
      <c r="J31" t="s">
        <v>1554</v>
      </c>
      <c r="K31">
        <v>686997</v>
      </c>
    </row>
    <row r="32" spans="1:12" hidden="1" x14ac:dyDescent="0.35">
      <c r="A32" t="s">
        <v>78</v>
      </c>
      <c r="B32" t="s">
        <v>533</v>
      </c>
      <c r="C32" t="s">
        <v>1555</v>
      </c>
      <c r="D32" t="s">
        <v>532</v>
      </c>
      <c r="E32">
        <v>75207</v>
      </c>
      <c r="F32" t="s">
        <v>782</v>
      </c>
      <c r="G32" t="s">
        <v>1556</v>
      </c>
      <c r="H32" t="s">
        <v>1487</v>
      </c>
      <c r="I32">
        <v>1</v>
      </c>
      <c r="J32" t="s">
        <v>1557</v>
      </c>
      <c r="K32">
        <v>10524</v>
      </c>
    </row>
    <row r="33" spans="1:12" hidden="1" x14ac:dyDescent="0.35">
      <c r="A33" t="s">
        <v>78</v>
      </c>
      <c r="B33" t="s">
        <v>785</v>
      </c>
      <c r="C33" t="s">
        <v>1493</v>
      </c>
      <c r="D33" t="s">
        <v>775</v>
      </c>
      <c r="E33">
        <v>20147</v>
      </c>
      <c r="F33" t="s">
        <v>790</v>
      </c>
      <c r="G33" t="s">
        <v>1558</v>
      </c>
      <c r="H33" t="s">
        <v>1559</v>
      </c>
      <c r="I33">
        <v>1</v>
      </c>
      <c r="J33" t="s">
        <v>1512</v>
      </c>
      <c r="K33">
        <v>674826</v>
      </c>
    </row>
    <row r="34" spans="1:12" hidden="1" x14ac:dyDescent="0.35">
      <c r="A34" t="s">
        <v>78</v>
      </c>
      <c r="B34" t="s">
        <v>785</v>
      </c>
      <c r="D34" t="s">
        <v>775</v>
      </c>
      <c r="F34" t="s">
        <v>804</v>
      </c>
      <c r="G34" t="s">
        <v>1560</v>
      </c>
      <c r="H34" t="s">
        <v>1534</v>
      </c>
      <c r="I34">
        <v>1</v>
      </c>
      <c r="J34" t="s">
        <v>1561</v>
      </c>
      <c r="K34">
        <v>692319</v>
      </c>
    </row>
    <row r="35" spans="1:12" hidden="1" x14ac:dyDescent="0.35">
      <c r="A35" t="s">
        <v>78</v>
      </c>
      <c r="B35" t="s">
        <v>533</v>
      </c>
      <c r="C35" t="s">
        <v>1555</v>
      </c>
      <c r="D35" t="s">
        <v>532</v>
      </c>
      <c r="E35">
        <v>75207</v>
      </c>
      <c r="F35" t="s">
        <v>782</v>
      </c>
      <c r="G35" t="s">
        <v>1562</v>
      </c>
      <c r="H35" t="s">
        <v>1563</v>
      </c>
      <c r="I35">
        <v>1</v>
      </c>
      <c r="J35" t="s">
        <v>1564</v>
      </c>
      <c r="K35" t="s">
        <v>593</v>
      </c>
    </row>
    <row r="36" spans="1:12" hidden="1" x14ac:dyDescent="0.35">
      <c r="A36" t="s">
        <v>78</v>
      </c>
      <c r="B36" t="s">
        <v>785</v>
      </c>
      <c r="C36" t="s">
        <v>1504</v>
      </c>
      <c r="D36" t="s">
        <v>775</v>
      </c>
      <c r="E36">
        <v>20147</v>
      </c>
      <c r="F36" t="s">
        <v>818</v>
      </c>
      <c r="G36" t="s">
        <v>1513</v>
      </c>
      <c r="H36" t="s">
        <v>1487</v>
      </c>
      <c r="I36">
        <v>1</v>
      </c>
      <c r="J36" t="s">
        <v>1565</v>
      </c>
      <c r="K36" t="s">
        <v>1566</v>
      </c>
    </row>
    <row r="37" spans="1:12" hidden="1" x14ac:dyDescent="0.35">
      <c r="A37" t="s">
        <v>78</v>
      </c>
      <c r="B37" t="s">
        <v>608</v>
      </c>
      <c r="C37" t="s">
        <v>1473</v>
      </c>
      <c r="D37" t="s">
        <v>607</v>
      </c>
      <c r="E37">
        <v>30303</v>
      </c>
      <c r="F37" t="s">
        <v>611</v>
      </c>
      <c r="G37" t="s">
        <v>1474</v>
      </c>
      <c r="H37" t="s">
        <v>1567</v>
      </c>
      <c r="I37">
        <v>1</v>
      </c>
      <c r="J37" t="s">
        <v>1568</v>
      </c>
      <c r="K37">
        <v>692020</v>
      </c>
      <c r="L37" t="s">
        <v>1569</v>
      </c>
    </row>
    <row r="38" spans="1:12" hidden="1" x14ac:dyDescent="0.35">
      <c r="A38" t="s">
        <v>78</v>
      </c>
      <c r="B38" t="s">
        <v>863</v>
      </c>
      <c r="C38" t="s">
        <v>1525</v>
      </c>
      <c r="D38" t="s">
        <v>857</v>
      </c>
      <c r="E38" t="s">
        <v>1522</v>
      </c>
      <c r="F38" t="s">
        <v>874</v>
      </c>
      <c r="G38" t="s">
        <v>1570</v>
      </c>
      <c r="H38" t="s">
        <v>1571</v>
      </c>
      <c r="I38">
        <v>4</v>
      </c>
      <c r="J38" t="s">
        <v>1572</v>
      </c>
    </row>
    <row r="39" spans="1:12" x14ac:dyDescent="0.35">
      <c r="A39" t="s">
        <v>78</v>
      </c>
      <c r="B39" t="s">
        <v>267</v>
      </c>
      <c r="C39" t="s">
        <v>1573</v>
      </c>
      <c r="D39" t="s">
        <v>574</v>
      </c>
      <c r="E39">
        <v>95131</v>
      </c>
      <c r="F39" t="s">
        <v>940</v>
      </c>
      <c r="G39" t="s">
        <v>1574</v>
      </c>
      <c r="H39" t="s">
        <v>1530</v>
      </c>
      <c r="I39">
        <v>1</v>
      </c>
      <c r="J39" t="s">
        <v>1575</v>
      </c>
      <c r="K39">
        <v>676632</v>
      </c>
    </row>
    <row r="40" spans="1:12" hidden="1" x14ac:dyDescent="0.35">
      <c r="A40" t="s">
        <v>78</v>
      </c>
      <c r="B40" t="s">
        <v>785</v>
      </c>
      <c r="C40" t="s">
        <v>1576</v>
      </c>
      <c r="D40" t="s">
        <v>775</v>
      </c>
      <c r="E40">
        <v>20147</v>
      </c>
      <c r="F40" t="s">
        <v>794</v>
      </c>
      <c r="G40" t="s">
        <v>1577</v>
      </c>
      <c r="H40">
        <v>5</v>
      </c>
      <c r="I40">
        <v>5</v>
      </c>
      <c r="J40" t="s">
        <v>1561</v>
      </c>
      <c r="K40">
        <v>692319</v>
      </c>
    </row>
    <row r="41" spans="1:12" hidden="1" x14ac:dyDescent="0.35">
      <c r="A41" t="s">
        <v>78</v>
      </c>
      <c r="B41" t="s">
        <v>1578</v>
      </c>
      <c r="C41" t="s">
        <v>1579</v>
      </c>
      <c r="D41" t="s">
        <v>775</v>
      </c>
      <c r="E41">
        <v>22701</v>
      </c>
      <c r="F41" t="s">
        <v>778</v>
      </c>
      <c r="G41" t="s">
        <v>1580</v>
      </c>
      <c r="H41" t="s">
        <v>1495</v>
      </c>
      <c r="I41">
        <v>5</v>
      </c>
      <c r="J41" t="s">
        <v>1561</v>
      </c>
      <c r="K41">
        <v>692319</v>
      </c>
    </row>
    <row r="42" spans="1:12" hidden="1" x14ac:dyDescent="0.35">
      <c r="A42" t="s">
        <v>78</v>
      </c>
      <c r="B42" t="s">
        <v>863</v>
      </c>
      <c r="C42" t="s">
        <v>1525</v>
      </c>
      <c r="D42" t="s">
        <v>857</v>
      </c>
      <c r="E42" t="s">
        <v>1522</v>
      </c>
      <c r="F42" t="s">
        <v>874</v>
      </c>
      <c r="G42" t="s">
        <v>1581</v>
      </c>
      <c r="H42" t="s">
        <v>1582</v>
      </c>
      <c r="I42">
        <v>1</v>
      </c>
      <c r="J42" t="s">
        <v>1583</v>
      </c>
      <c r="K42">
        <v>10748</v>
      </c>
    </row>
    <row r="43" spans="1:12" hidden="1" x14ac:dyDescent="0.35">
      <c r="A43" t="s">
        <v>78</v>
      </c>
      <c r="B43" t="s">
        <v>785</v>
      </c>
      <c r="C43" t="s">
        <v>1504</v>
      </c>
      <c r="D43" t="s">
        <v>775</v>
      </c>
      <c r="E43">
        <v>20147</v>
      </c>
      <c r="F43" t="s">
        <v>818</v>
      </c>
      <c r="G43" t="s">
        <v>1506</v>
      </c>
      <c r="H43" t="s">
        <v>1584</v>
      </c>
      <c r="I43">
        <v>1</v>
      </c>
      <c r="J43" t="s">
        <v>1585</v>
      </c>
      <c r="K43">
        <v>674826</v>
      </c>
    </row>
    <row r="44" spans="1:12" hidden="1" x14ac:dyDescent="0.35">
      <c r="A44" t="s">
        <v>78</v>
      </c>
      <c r="B44" t="s">
        <v>916</v>
      </c>
      <c r="C44" t="s">
        <v>1532</v>
      </c>
      <c r="D44" t="s">
        <v>915</v>
      </c>
      <c r="E44">
        <v>98121</v>
      </c>
      <c r="F44" t="s">
        <v>919</v>
      </c>
      <c r="G44" t="s">
        <v>1586</v>
      </c>
      <c r="H44" t="s">
        <v>1587</v>
      </c>
      <c r="I44">
        <v>1</v>
      </c>
      <c r="J44" t="s">
        <v>1585</v>
      </c>
      <c r="K44">
        <v>674826</v>
      </c>
    </row>
    <row r="45" spans="1:12" x14ac:dyDescent="0.35">
      <c r="A45" t="s">
        <v>78</v>
      </c>
      <c r="B45" t="s">
        <v>267</v>
      </c>
      <c r="C45" t="s">
        <v>1539</v>
      </c>
      <c r="D45" t="s">
        <v>574</v>
      </c>
      <c r="E45">
        <v>95119</v>
      </c>
      <c r="F45" t="s">
        <v>929</v>
      </c>
      <c r="G45" t="s">
        <v>1588</v>
      </c>
      <c r="H45" t="s">
        <v>1589</v>
      </c>
      <c r="I45">
        <v>1</v>
      </c>
      <c r="J45" t="s">
        <v>1585</v>
      </c>
      <c r="K45">
        <v>674826</v>
      </c>
    </row>
    <row r="46" spans="1:12" hidden="1" x14ac:dyDescent="0.35">
      <c r="A46" t="s">
        <v>78</v>
      </c>
      <c r="B46" t="s">
        <v>863</v>
      </c>
      <c r="C46" t="s">
        <v>1590</v>
      </c>
      <c r="D46" t="s">
        <v>857</v>
      </c>
      <c r="E46" t="s">
        <v>1522</v>
      </c>
      <c r="F46" t="s">
        <v>879</v>
      </c>
      <c r="G46" t="s">
        <v>1591</v>
      </c>
      <c r="H46" t="s">
        <v>1592</v>
      </c>
      <c r="I46">
        <v>1</v>
      </c>
      <c r="J46" t="s">
        <v>1585</v>
      </c>
      <c r="K46">
        <v>674826</v>
      </c>
    </row>
    <row r="47" spans="1:12" hidden="1" x14ac:dyDescent="0.35">
      <c r="A47" t="s">
        <v>953</v>
      </c>
      <c r="B47" t="s">
        <v>608</v>
      </c>
      <c r="C47" t="s">
        <v>1593</v>
      </c>
      <c r="D47" t="s">
        <v>607</v>
      </c>
      <c r="E47">
        <v>30318</v>
      </c>
      <c r="F47" t="s">
        <v>956</v>
      </c>
      <c r="G47" t="s">
        <v>1594</v>
      </c>
      <c r="H47" t="s">
        <v>1595</v>
      </c>
      <c r="I47">
        <v>42</v>
      </c>
      <c r="J47" t="s">
        <v>1596</v>
      </c>
      <c r="K47" t="s">
        <v>593</v>
      </c>
    </row>
    <row r="48" spans="1:12" hidden="1" x14ac:dyDescent="0.35">
      <c r="A48" t="s">
        <v>534</v>
      </c>
      <c r="B48" t="s">
        <v>533</v>
      </c>
      <c r="C48" t="s">
        <v>1597</v>
      </c>
      <c r="D48" t="s">
        <v>532</v>
      </c>
      <c r="E48">
        <v>75207</v>
      </c>
      <c r="F48" t="s">
        <v>537</v>
      </c>
      <c r="G48" t="s">
        <v>1598</v>
      </c>
      <c r="H48" t="s">
        <v>1599</v>
      </c>
      <c r="I48">
        <v>6</v>
      </c>
      <c r="J48" t="s">
        <v>1600</v>
      </c>
      <c r="K48" t="s">
        <v>593</v>
      </c>
    </row>
    <row r="49" spans="1:12" hidden="1" x14ac:dyDescent="0.35">
      <c r="A49" t="s">
        <v>1601</v>
      </c>
      <c r="B49" t="s">
        <v>759</v>
      </c>
      <c r="C49" t="s">
        <v>1602</v>
      </c>
      <c r="D49" t="s">
        <v>1481</v>
      </c>
      <c r="E49">
        <v>60616</v>
      </c>
      <c r="F49" t="s">
        <v>970</v>
      </c>
      <c r="G49" t="s">
        <v>1603</v>
      </c>
      <c r="H49" t="s">
        <v>1604</v>
      </c>
      <c r="I49">
        <v>2</v>
      </c>
      <c r="J49" t="s">
        <v>1605</v>
      </c>
      <c r="K49" t="s">
        <v>593</v>
      </c>
    </row>
    <row r="50" spans="1:12" x14ac:dyDescent="0.35">
      <c r="A50" t="s">
        <v>576</v>
      </c>
      <c r="B50" t="s">
        <v>575</v>
      </c>
      <c r="C50" t="s">
        <v>1606</v>
      </c>
      <c r="D50" t="s">
        <v>574</v>
      </c>
      <c r="E50">
        <v>90012</v>
      </c>
      <c r="F50" t="s">
        <v>579</v>
      </c>
      <c r="G50" t="s">
        <v>1607</v>
      </c>
      <c r="H50">
        <v>613</v>
      </c>
      <c r="I50">
        <v>1</v>
      </c>
      <c r="J50" t="s">
        <v>1608</v>
      </c>
      <c r="K50" t="s">
        <v>593</v>
      </c>
    </row>
    <row r="51" spans="1:12" hidden="1" x14ac:dyDescent="0.35">
      <c r="A51" t="s">
        <v>576</v>
      </c>
      <c r="B51" t="s">
        <v>863</v>
      </c>
      <c r="C51" t="s">
        <v>1609</v>
      </c>
      <c r="D51" t="s">
        <v>857</v>
      </c>
      <c r="E51">
        <v>7094</v>
      </c>
      <c r="F51" t="s">
        <v>866</v>
      </c>
      <c r="G51" t="s">
        <v>1610</v>
      </c>
      <c r="H51">
        <v>208</v>
      </c>
      <c r="I51">
        <v>1</v>
      </c>
      <c r="J51" t="s">
        <v>1611</v>
      </c>
      <c r="K51">
        <v>10748</v>
      </c>
    </row>
    <row r="52" spans="1:12" hidden="1" x14ac:dyDescent="0.35">
      <c r="A52" t="s">
        <v>235</v>
      </c>
      <c r="B52" t="s">
        <v>959</v>
      </c>
      <c r="C52" t="s">
        <v>1612</v>
      </c>
      <c r="D52" t="s">
        <v>775</v>
      </c>
      <c r="E52">
        <v>20171</v>
      </c>
      <c r="F52" t="s">
        <v>960</v>
      </c>
      <c r="G52" t="s">
        <v>1613</v>
      </c>
      <c r="I52">
        <v>26.1</v>
      </c>
      <c r="J52" t="s">
        <v>1614</v>
      </c>
      <c r="K52" t="s">
        <v>593</v>
      </c>
      <c r="L52" t="s">
        <v>1615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211FB-0D93-4F7A-9F5B-324700E08B2B}">
  <dimension ref="A1:I13"/>
  <sheetViews>
    <sheetView workbookViewId="0">
      <selection activeCell="I3" sqref="I3"/>
    </sheetView>
  </sheetViews>
  <sheetFormatPr baseColWidth="10" defaultColWidth="11.453125" defaultRowHeight="14.5" x14ac:dyDescent="0.35"/>
  <cols>
    <col min="1" max="1" width="14.453125" customWidth="1"/>
    <col min="2" max="2" width="9.81640625" bestFit="1" customWidth="1"/>
    <col min="3" max="3" width="10.81640625" bestFit="1" customWidth="1"/>
    <col min="4" max="4" width="17.453125" bestFit="1" customWidth="1"/>
    <col min="5" max="5" width="54.54296875" bestFit="1" customWidth="1"/>
    <col min="6" max="6" width="11.81640625" customWidth="1"/>
    <col min="7" max="7" width="21.81640625" customWidth="1"/>
    <col min="8" max="8" width="17.453125" customWidth="1"/>
    <col min="9" max="9" width="28.54296875" bestFit="1" customWidth="1"/>
  </cols>
  <sheetData>
    <row r="1" spans="1:9" x14ac:dyDescent="0.35">
      <c r="A1" t="s">
        <v>1616</v>
      </c>
      <c r="B1" t="s">
        <v>14</v>
      </c>
      <c r="C1" t="s">
        <v>1463</v>
      </c>
      <c r="D1" t="s">
        <v>50</v>
      </c>
      <c r="E1" t="s">
        <v>8</v>
      </c>
      <c r="F1" t="s">
        <v>12</v>
      </c>
      <c r="G1" t="s">
        <v>1617</v>
      </c>
      <c r="H1" t="s">
        <v>1618</v>
      </c>
      <c r="I1" t="s">
        <v>1619</v>
      </c>
    </row>
    <row r="2" spans="1:9" x14ac:dyDescent="0.35">
      <c r="A2" t="s">
        <v>1620</v>
      </c>
      <c r="B2" t="s">
        <v>1621</v>
      </c>
      <c r="C2" t="s">
        <v>470</v>
      </c>
      <c r="D2" t="s">
        <v>246</v>
      </c>
      <c r="E2" t="s">
        <v>1622</v>
      </c>
      <c r="F2" t="s">
        <v>1623</v>
      </c>
      <c r="G2" s="5">
        <v>1</v>
      </c>
      <c r="H2" t="s">
        <v>998</v>
      </c>
      <c r="I2" t="s">
        <v>1624</v>
      </c>
    </row>
    <row r="3" spans="1:9" x14ac:dyDescent="0.35">
      <c r="A3" t="s">
        <v>1625</v>
      </c>
      <c r="B3" t="s">
        <v>1621</v>
      </c>
      <c r="C3" t="s">
        <v>470</v>
      </c>
      <c r="D3" t="s">
        <v>78</v>
      </c>
      <c r="E3" t="s">
        <v>1626</v>
      </c>
      <c r="F3" t="s">
        <v>1623</v>
      </c>
      <c r="G3" s="5">
        <v>1</v>
      </c>
      <c r="H3" t="s">
        <v>998</v>
      </c>
      <c r="I3" t="s">
        <v>1624</v>
      </c>
    </row>
    <row r="4" spans="1:9" x14ac:dyDescent="0.35">
      <c r="A4" t="s">
        <v>1627</v>
      </c>
      <c r="B4" t="s">
        <v>1628</v>
      </c>
      <c r="C4" t="s">
        <v>583</v>
      </c>
      <c r="D4" t="s">
        <v>1629</v>
      </c>
      <c r="E4" t="s">
        <v>907</v>
      </c>
      <c r="F4" t="s">
        <v>1630</v>
      </c>
      <c r="G4" s="5">
        <v>0.95</v>
      </c>
      <c r="H4" t="s">
        <v>1034</v>
      </c>
    </row>
    <row r="5" spans="1:9" x14ac:dyDescent="0.35">
      <c r="A5" t="s">
        <v>1631</v>
      </c>
      <c r="B5" t="s">
        <v>1628</v>
      </c>
      <c r="C5" t="s">
        <v>583</v>
      </c>
      <c r="D5" t="s">
        <v>681</v>
      </c>
      <c r="E5" t="s">
        <v>586</v>
      </c>
      <c r="F5" t="s">
        <v>1623</v>
      </c>
      <c r="G5" s="5">
        <v>1</v>
      </c>
      <c r="H5" t="s">
        <v>998</v>
      </c>
      <c r="I5" t="s">
        <v>1632</v>
      </c>
    </row>
    <row r="6" spans="1:9" x14ac:dyDescent="0.35">
      <c r="A6" t="s">
        <v>1633</v>
      </c>
      <c r="B6" t="s">
        <v>1628</v>
      </c>
      <c r="C6" t="s">
        <v>583</v>
      </c>
      <c r="D6" t="s">
        <v>1629</v>
      </c>
      <c r="E6" t="s">
        <v>912</v>
      </c>
      <c r="F6" t="s">
        <v>1630</v>
      </c>
      <c r="G6" s="5">
        <v>0.65</v>
      </c>
      <c r="H6" t="s">
        <v>1034</v>
      </c>
    </row>
    <row r="7" spans="1:9" x14ac:dyDescent="0.35">
      <c r="A7" t="s">
        <v>1634</v>
      </c>
      <c r="B7" t="s">
        <v>1635</v>
      </c>
      <c r="C7" t="s">
        <v>676</v>
      </c>
      <c r="D7" t="s">
        <v>1629</v>
      </c>
      <c r="E7" t="s">
        <v>678</v>
      </c>
      <c r="F7" t="s">
        <v>1630</v>
      </c>
      <c r="G7" s="5">
        <v>0.65</v>
      </c>
      <c r="H7" t="s">
        <v>1034</v>
      </c>
    </row>
    <row r="8" spans="1:9" x14ac:dyDescent="0.35">
      <c r="A8" t="s">
        <v>1636</v>
      </c>
      <c r="B8" t="s">
        <v>1635</v>
      </c>
      <c r="C8" t="s">
        <v>676</v>
      </c>
      <c r="D8" t="s">
        <v>681</v>
      </c>
      <c r="E8" t="s">
        <v>683</v>
      </c>
      <c r="F8" t="s">
        <v>1623</v>
      </c>
      <c r="G8" s="5">
        <v>1</v>
      </c>
      <c r="H8" t="s">
        <v>998</v>
      </c>
    </row>
    <row r="9" spans="1:9" x14ac:dyDescent="0.35">
      <c r="A9" t="s">
        <v>1637</v>
      </c>
      <c r="B9" t="s">
        <v>1635</v>
      </c>
      <c r="C9" t="s">
        <v>676</v>
      </c>
      <c r="D9" t="s">
        <v>246</v>
      </c>
      <c r="E9" t="s">
        <v>688</v>
      </c>
      <c r="F9" t="s">
        <v>1623</v>
      </c>
      <c r="G9" s="5">
        <v>1</v>
      </c>
      <c r="H9" t="s">
        <v>998</v>
      </c>
      <c r="I9" t="s">
        <v>1638</v>
      </c>
    </row>
    <row r="10" spans="1:9" x14ac:dyDescent="0.35">
      <c r="A10" t="s">
        <v>1639</v>
      </c>
      <c r="B10" t="s">
        <v>1640</v>
      </c>
      <c r="C10" t="s">
        <v>433</v>
      </c>
      <c r="D10" t="s">
        <v>207</v>
      </c>
      <c r="E10" t="s">
        <v>435</v>
      </c>
      <c r="F10" t="s">
        <v>1623</v>
      </c>
      <c r="G10" s="5">
        <v>0.85</v>
      </c>
      <c r="H10" t="s">
        <v>998</v>
      </c>
    </row>
    <row r="11" spans="1:9" x14ac:dyDescent="0.35">
      <c r="A11" t="s">
        <v>1641</v>
      </c>
      <c r="B11" t="s">
        <v>1640</v>
      </c>
      <c r="C11" t="s">
        <v>411</v>
      </c>
      <c r="D11" t="s">
        <v>207</v>
      </c>
      <c r="E11" t="s">
        <v>1642</v>
      </c>
      <c r="F11" t="s">
        <v>1623</v>
      </c>
      <c r="G11" s="5">
        <v>1</v>
      </c>
      <c r="H11" t="s">
        <v>998</v>
      </c>
    </row>
    <row r="12" spans="1:9" x14ac:dyDescent="0.35">
      <c r="A12" t="s">
        <v>1643</v>
      </c>
      <c r="B12" t="s">
        <v>1644</v>
      </c>
      <c r="C12" t="s">
        <v>700</v>
      </c>
      <c r="D12" t="s">
        <v>78</v>
      </c>
      <c r="E12" t="s">
        <v>1645</v>
      </c>
      <c r="F12" t="s">
        <v>1623</v>
      </c>
      <c r="G12" s="5">
        <v>1</v>
      </c>
      <c r="H12" t="s">
        <v>998</v>
      </c>
      <c r="I12" t="s">
        <v>1646</v>
      </c>
    </row>
    <row r="13" spans="1:9" x14ac:dyDescent="0.35">
      <c r="A13" t="s">
        <v>1647</v>
      </c>
      <c r="B13" t="s">
        <v>1644</v>
      </c>
      <c r="C13" t="s">
        <v>692</v>
      </c>
      <c r="D13" t="s">
        <v>78</v>
      </c>
      <c r="E13" t="s">
        <v>1648</v>
      </c>
      <c r="F13" t="s">
        <v>1623</v>
      </c>
      <c r="G13" s="5">
        <v>1</v>
      </c>
      <c r="H13" t="s">
        <v>998</v>
      </c>
      <c r="I13" t="s">
        <v>1646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2B149-1DAB-434E-9849-9A8361F1E3EC}">
  <sheetPr codeName="Feuil4"/>
  <dimension ref="A1:K122"/>
  <sheetViews>
    <sheetView workbookViewId="0"/>
  </sheetViews>
  <sheetFormatPr baseColWidth="10" defaultColWidth="11.453125" defaultRowHeight="14.5" x14ac:dyDescent="0.35"/>
  <cols>
    <col min="3" max="3" width="12.54296875" customWidth="1"/>
    <col min="6" max="6" width="17.453125" customWidth="1"/>
    <col min="7" max="7" width="16.54296875" customWidth="1"/>
    <col min="10" max="10" width="11.1796875" customWidth="1"/>
    <col min="11" max="11" width="40.453125" bestFit="1" customWidth="1"/>
  </cols>
  <sheetData>
    <row r="1" spans="1:11" x14ac:dyDescent="0.35">
      <c r="A1" t="s">
        <v>47</v>
      </c>
      <c r="B1" t="s">
        <v>14</v>
      </c>
      <c r="C1" t="s">
        <v>48</v>
      </c>
      <c r="D1" t="s">
        <v>1649</v>
      </c>
      <c r="E1" t="s">
        <v>50</v>
      </c>
      <c r="F1" t="s">
        <v>1650</v>
      </c>
      <c r="G1" t="s">
        <v>1651</v>
      </c>
      <c r="H1" t="s">
        <v>8</v>
      </c>
      <c r="I1" t="s">
        <v>1652</v>
      </c>
      <c r="J1" t="s">
        <v>1653</v>
      </c>
      <c r="K1" t="s">
        <v>1654</v>
      </c>
    </row>
    <row r="2" spans="1:11" x14ac:dyDescent="0.35">
      <c r="A2" t="s">
        <v>18</v>
      </c>
      <c r="B2" t="s">
        <v>21</v>
      </c>
      <c r="C2" t="s">
        <v>797</v>
      </c>
      <c r="D2" t="s">
        <v>797</v>
      </c>
      <c r="E2" t="s">
        <v>798</v>
      </c>
      <c r="F2" t="s">
        <v>800</v>
      </c>
      <c r="G2" t="s">
        <v>1655</v>
      </c>
      <c r="H2" t="s">
        <v>799</v>
      </c>
      <c r="I2" t="s">
        <v>1656</v>
      </c>
      <c r="J2" t="s">
        <v>1657</v>
      </c>
      <c r="K2" t="s">
        <v>582</v>
      </c>
    </row>
    <row r="3" spans="1:11" x14ac:dyDescent="0.35">
      <c r="A3" t="s">
        <v>18</v>
      </c>
      <c r="B3" t="s">
        <v>21</v>
      </c>
      <c r="C3" t="s">
        <v>759</v>
      </c>
      <c r="D3" t="s">
        <v>759</v>
      </c>
      <c r="E3" t="s">
        <v>78</v>
      </c>
      <c r="F3" t="s">
        <v>774</v>
      </c>
      <c r="G3" t="s">
        <v>1655</v>
      </c>
      <c r="H3" t="s">
        <v>1658</v>
      </c>
      <c r="I3" t="s">
        <v>762</v>
      </c>
      <c r="J3" t="s">
        <v>763</v>
      </c>
      <c r="K3" t="s">
        <v>614</v>
      </c>
    </row>
    <row r="4" spans="1:11" x14ac:dyDescent="0.35">
      <c r="A4" t="s">
        <v>18</v>
      </c>
      <c r="B4" t="s">
        <v>21</v>
      </c>
      <c r="C4" t="s">
        <v>797</v>
      </c>
      <c r="D4" t="s">
        <v>863</v>
      </c>
      <c r="E4" t="s">
        <v>78</v>
      </c>
      <c r="F4" t="s">
        <v>870</v>
      </c>
      <c r="G4" t="s">
        <v>1655</v>
      </c>
      <c r="H4" t="s">
        <v>869</v>
      </c>
      <c r="I4" t="s">
        <v>1659</v>
      </c>
      <c r="J4" t="s">
        <v>1660</v>
      </c>
      <c r="K4" t="s">
        <v>614</v>
      </c>
    </row>
    <row r="5" spans="1:11" x14ac:dyDescent="0.35">
      <c r="A5" t="s">
        <v>18</v>
      </c>
      <c r="B5" t="s">
        <v>21</v>
      </c>
      <c r="C5" t="s">
        <v>915</v>
      </c>
      <c r="D5" t="s">
        <v>785</v>
      </c>
      <c r="E5" t="s">
        <v>78</v>
      </c>
      <c r="F5" t="s">
        <v>813</v>
      </c>
      <c r="G5" t="s">
        <v>1655</v>
      </c>
      <c r="H5" t="s">
        <v>1661</v>
      </c>
      <c r="I5" t="s">
        <v>1662</v>
      </c>
      <c r="J5" t="s">
        <v>1663</v>
      </c>
      <c r="K5" t="s">
        <v>614</v>
      </c>
    </row>
    <row r="6" spans="1:11" x14ac:dyDescent="0.35">
      <c r="A6" t="s">
        <v>18</v>
      </c>
      <c r="B6" t="s">
        <v>19</v>
      </c>
      <c r="C6" t="s">
        <v>135</v>
      </c>
      <c r="D6" t="s">
        <v>135</v>
      </c>
      <c r="E6" t="s">
        <v>78</v>
      </c>
      <c r="F6" t="s">
        <v>166</v>
      </c>
      <c r="G6" t="s">
        <v>1664</v>
      </c>
      <c r="H6" t="s">
        <v>165</v>
      </c>
      <c r="I6" t="s">
        <v>1665</v>
      </c>
      <c r="J6" t="s">
        <v>1666</v>
      </c>
      <c r="K6" t="s">
        <v>141</v>
      </c>
    </row>
    <row r="7" spans="1:11" x14ac:dyDescent="0.35">
      <c r="A7" t="s">
        <v>18</v>
      </c>
      <c r="B7" t="s">
        <v>20</v>
      </c>
      <c r="C7" t="s">
        <v>267</v>
      </c>
      <c r="D7" t="s">
        <v>267</v>
      </c>
      <c r="E7" t="s">
        <v>1667</v>
      </c>
      <c r="F7" t="s">
        <v>268</v>
      </c>
      <c r="G7" t="s">
        <v>269</v>
      </c>
      <c r="H7" t="s">
        <v>270</v>
      </c>
      <c r="I7" t="s">
        <v>1668</v>
      </c>
      <c r="J7" t="s">
        <v>1669</v>
      </c>
      <c r="K7" t="s">
        <v>1670</v>
      </c>
    </row>
    <row r="8" spans="1:11" x14ac:dyDescent="0.35">
      <c r="A8" t="s">
        <v>18</v>
      </c>
      <c r="B8" t="s">
        <v>21</v>
      </c>
      <c r="C8" t="s">
        <v>608</v>
      </c>
      <c r="D8" t="s">
        <v>608</v>
      </c>
      <c r="E8" t="s">
        <v>69</v>
      </c>
      <c r="F8" t="s">
        <v>1671</v>
      </c>
      <c r="G8" t="s">
        <v>1672</v>
      </c>
      <c r="H8" t="s">
        <v>1673</v>
      </c>
      <c r="I8" t="s">
        <v>1674</v>
      </c>
      <c r="J8" t="s">
        <v>1675</v>
      </c>
      <c r="K8" t="s">
        <v>1676</v>
      </c>
    </row>
    <row r="9" spans="1:11" x14ac:dyDescent="0.35">
      <c r="A9" t="s">
        <v>18</v>
      </c>
      <c r="B9" t="s">
        <v>21</v>
      </c>
      <c r="C9" t="s">
        <v>1338</v>
      </c>
      <c r="D9" t="s">
        <v>1338</v>
      </c>
      <c r="E9" t="s">
        <v>69</v>
      </c>
      <c r="F9" t="s">
        <v>1338</v>
      </c>
      <c r="G9" t="s">
        <v>960</v>
      </c>
      <c r="H9" t="s">
        <v>1677</v>
      </c>
      <c r="I9" t="s">
        <v>1678</v>
      </c>
      <c r="J9" t="s">
        <v>1679</v>
      </c>
      <c r="K9" t="s">
        <v>1680</v>
      </c>
    </row>
    <row r="10" spans="1:11" x14ac:dyDescent="0.35">
      <c r="A10" t="s">
        <v>18</v>
      </c>
      <c r="B10" t="s">
        <v>21</v>
      </c>
      <c r="C10" t="s">
        <v>608</v>
      </c>
      <c r="D10" t="s">
        <v>608</v>
      </c>
      <c r="E10" t="s">
        <v>78</v>
      </c>
      <c r="F10" t="s">
        <v>611</v>
      </c>
      <c r="G10" t="s">
        <v>1357</v>
      </c>
      <c r="H10" t="s">
        <v>1681</v>
      </c>
      <c r="I10" t="s">
        <v>1682</v>
      </c>
      <c r="J10" t="s">
        <v>1683</v>
      </c>
      <c r="K10" t="s">
        <v>614</v>
      </c>
    </row>
    <row r="11" spans="1:11" x14ac:dyDescent="0.35">
      <c r="A11" t="s">
        <v>18</v>
      </c>
      <c r="B11" t="s">
        <v>21</v>
      </c>
      <c r="C11" t="s">
        <v>759</v>
      </c>
      <c r="D11" t="s">
        <v>759</v>
      </c>
      <c r="E11" t="s">
        <v>78</v>
      </c>
      <c r="F11" t="s">
        <v>769</v>
      </c>
      <c r="G11" t="s">
        <v>767</v>
      </c>
      <c r="H11" t="s">
        <v>768</v>
      </c>
      <c r="I11" t="s">
        <v>770</v>
      </c>
      <c r="J11" t="s">
        <v>771</v>
      </c>
      <c r="K11" t="s">
        <v>614</v>
      </c>
    </row>
    <row r="12" spans="1:11" x14ac:dyDescent="0.35">
      <c r="A12" t="s">
        <v>18</v>
      </c>
      <c r="B12" t="s">
        <v>21</v>
      </c>
      <c r="C12" t="s">
        <v>797</v>
      </c>
      <c r="D12" t="s">
        <v>863</v>
      </c>
      <c r="E12" t="s">
        <v>78</v>
      </c>
      <c r="F12" t="s">
        <v>866</v>
      </c>
      <c r="G12" t="s">
        <v>864</v>
      </c>
      <c r="H12" t="s">
        <v>1684</v>
      </c>
      <c r="I12" t="s">
        <v>867</v>
      </c>
      <c r="J12" t="s">
        <v>868</v>
      </c>
      <c r="K12" t="s">
        <v>614</v>
      </c>
    </row>
    <row r="13" spans="1:11" x14ac:dyDescent="0.35">
      <c r="A13" t="s">
        <v>18</v>
      </c>
      <c r="B13" t="s">
        <v>21</v>
      </c>
      <c r="C13" t="s">
        <v>797</v>
      </c>
      <c r="D13" t="s">
        <v>863</v>
      </c>
      <c r="E13" t="s">
        <v>78</v>
      </c>
      <c r="F13" t="s">
        <v>874</v>
      </c>
      <c r="G13" t="s">
        <v>1685</v>
      </c>
      <c r="H13" t="s">
        <v>1686</v>
      </c>
      <c r="I13" t="s">
        <v>1687</v>
      </c>
      <c r="J13" t="s">
        <v>1688</v>
      </c>
      <c r="K13" t="s">
        <v>614</v>
      </c>
    </row>
    <row r="14" spans="1:11" x14ac:dyDescent="0.35">
      <c r="A14" t="s">
        <v>18</v>
      </c>
      <c r="B14" t="s">
        <v>21</v>
      </c>
      <c r="C14" t="s">
        <v>915</v>
      </c>
      <c r="D14" t="s">
        <v>785</v>
      </c>
      <c r="E14" t="s">
        <v>78</v>
      </c>
      <c r="F14" t="s">
        <v>790</v>
      </c>
      <c r="G14" t="s">
        <v>1689</v>
      </c>
      <c r="H14" t="s">
        <v>1690</v>
      </c>
      <c r="I14" t="s">
        <v>791</v>
      </c>
      <c r="J14" t="s">
        <v>792</v>
      </c>
      <c r="K14" t="s">
        <v>614</v>
      </c>
    </row>
    <row r="15" spans="1:11" x14ac:dyDescent="0.35">
      <c r="A15" t="s">
        <v>18</v>
      </c>
      <c r="B15" t="s">
        <v>21</v>
      </c>
      <c r="C15" t="s">
        <v>915</v>
      </c>
      <c r="D15" t="s">
        <v>785</v>
      </c>
      <c r="E15" t="s">
        <v>78</v>
      </c>
      <c r="F15" t="s">
        <v>1691</v>
      </c>
      <c r="G15" t="s">
        <v>1374</v>
      </c>
      <c r="H15" t="s">
        <v>1692</v>
      </c>
      <c r="I15" t="s">
        <v>1693</v>
      </c>
      <c r="J15" t="s">
        <v>1694</v>
      </c>
      <c r="K15" t="s">
        <v>614</v>
      </c>
    </row>
    <row r="16" spans="1:11" x14ac:dyDescent="0.35">
      <c r="A16" t="s">
        <v>18</v>
      </c>
      <c r="B16" t="s">
        <v>21</v>
      </c>
      <c r="C16" t="s">
        <v>915</v>
      </c>
      <c r="D16" t="s">
        <v>785</v>
      </c>
      <c r="E16" t="s">
        <v>78</v>
      </c>
      <c r="F16" t="s">
        <v>818</v>
      </c>
      <c r="G16" t="s">
        <v>788</v>
      </c>
      <c r="H16" t="s">
        <v>1695</v>
      </c>
      <c r="I16" t="s">
        <v>1696</v>
      </c>
      <c r="J16" t="s">
        <v>1697</v>
      </c>
      <c r="K16" t="s">
        <v>614</v>
      </c>
    </row>
    <row r="17" spans="1:11" x14ac:dyDescent="0.35">
      <c r="A17" t="s">
        <v>18</v>
      </c>
      <c r="B17" t="s">
        <v>21</v>
      </c>
      <c r="C17" t="s">
        <v>267</v>
      </c>
      <c r="D17" t="s">
        <v>267</v>
      </c>
      <c r="E17" t="s">
        <v>207</v>
      </c>
      <c r="F17" t="s">
        <v>267</v>
      </c>
      <c r="G17" t="s">
        <v>948</v>
      </c>
      <c r="H17" t="s">
        <v>949</v>
      </c>
      <c r="I17" t="s">
        <v>950</v>
      </c>
      <c r="J17" t="s">
        <v>951</v>
      </c>
      <c r="K17" t="s">
        <v>952</v>
      </c>
    </row>
    <row r="18" spans="1:11" x14ac:dyDescent="0.35">
      <c r="A18" t="s">
        <v>18</v>
      </c>
      <c r="B18" t="s">
        <v>21</v>
      </c>
      <c r="C18" t="s">
        <v>807</v>
      </c>
      <c r="D18" t="s">
        <v>807</v>
      </c>
      <c r="E18" t="s">
        <v>207</v>
      </c>
      <c r="F18" t="s">
        <v>807</v>
      </c>
      <c r="G18" t="s">
        <v>808</v>
      </c>
      <c r="H18" t="s">
        <v>809</v>
      </c>
      <c r="I18" t="s">
        <v>810</v>
      </c>
      <c r="J18" t="s">
        <v>811</v>
      </c>
      <c r="K18" t="s">
        <v>952</v>
      </c>
    </row>
    <row r="19" spans="1:11" x14ac:dyDescent="0.35">
      <c r="A19" t="s">
        <v>18</v>
      </c>
      <c r="B19" t="s">
        <v>21</v>
      </c>
      <c r="C19" t="s">
        <v>608</v>
      </c>
      <c r="D19" t="s">
        <v>608</v>
      </c>
      <c r="E19" t="s">
        <v>953</v>
      </c>
      <c r="F19" t="s">
        <v>608</v>
      </c>
      <c r="G19" t="s">
        <v>1698</v>
      </c>
      <c r="H19" t="s">
        <v>1699</v>
      </c>
      <c r="I19" t="s">
        <v>1700</v>
      </c>
      <c r="J19" t="s">
        <v>1701</v>
      </c>
      <c r="K19" t="s">
        <v>1702</v>
      </c>
    </row>
    <row r="20" spans="1:11" x14ac:dyDescent="0.35">
      <c r="A20" t="s">
        <v>18</v>
      </c>
      <c r="B20" t="s">
        <v>21</v>
      </c>
      <c r="C20" t="s">
        <v>267</v>
      </c>
      <c r="D20" t="s">
        <v>267</v>
      </c>
      <c r="E20" t="s">
        <v>78</v>
      </c>
      <c r="F20" t="s">
        <v>934</v>
      </c>
      <c r="G20" t="s">
        <v>1703</v>
      </c>
      <c r="H20" t="s">
        <v>1704</v>
      </c>
      <c r="I20">
        <v>37.241239999999998</v>
      </c>
      <c r="J20" t="s">
        <v>1705</v>
      </c>
      <c r="K20" t="s">
        <v>614</v>
      </c>
    </row>
    <row r="21" spans="1:11" x14ac:dyDescent="0.35">
      <c r="A21" t="s">
        <v>18</v>
      </c>
      <c r="B21" t="s">
        <v>21</v>
      </c>
      <c r="C21" t="s">
        <v>759</v>
      </c>
      <c r="D21" t="s">
        <v>759</v>
      </c>
      <c r="E21" t="s">
        <v>246</v>
      </c>
      <c r="F21" t="s">
        <v>970</v>
      </c>
      <c r="G21" t="s">
        <v>1706</v>
      </c>
      <c r="H21" t="s">
        <v>1707</v>
      </c>
      <c r="I21">
        <v>41.853909999999999</v>
      </c>
      <c r="J21" t="s">
        <v>1708</v>
      </c>
      <c r="K21" t="s">
        <v>971</v>
      </c>
    </row>
    <row r="22" spans="1:11" x14ac:dyDescent="0.35">
      <c r="A22" t="s">
        <v>18</v>
      </c>
      <c r="B22" t="s">
        <v>21</v>
      </c>
      <c r="C22" t="s">
        <v>575</v>
      </c>
      <c r="D22" t="s">
        <v>575</v>
      </c>
      <c r="E22" t="s">
        <v>798</v>
      </c>
      <c r="F22" t="s">
        <v>579</v>
      </c>
      <c r="G22" t="s">
        <v>577</v>
      </c>
      <c r="H22" t="s">
        <v>1709</v>
      </c>
      <c r="I22">
        <v>34.058140000000002</v>
      </c>
      <c r="J22" t="s">
        <v>1710</v>
      </c>
      <c r="K22" t="s">
        <v>582</v>
      </c>
    </row>
    <row r="23" spans="1:11" x14ac:dyDescent="0.35">
      <c r="A23" t="s">
        <v>23</v>
      </c>
      <c r="B23" t="s">
        <v>24</v>
      </c>
      <c r="C23" t="s">
        <v>68</v>
      </c>
      <c r="D23" t="s">
        <v>99</v>
      </c>
      <c r="E23" t="s">
        <v>78</v>
      </c>
      <c r="F23" t="s">
        <v>101</v>
      </c>
      <c r="G23" t="s">
        <v>1655</v>
      </c>
      <c r="H23" t="s">
        <v>100</v>
      </c>
      <c r="I23" t="s">
        <v>1711</v>
      </c>
      <c r="J23" t="s">
        <v>1712</v>
      </c>
      <c r="K23" t="s">
        <v>84</v>
      </c>
    </row>
    <row r="24" spans="1:11" x14ac:dyDescent="0.35">
      <c r="A24" t="s">
        <v>23</v>
      </c>
      <c r="B24" t="s">
        <v>24</v>
      </c>
      <c r="C24" t="s">
        <v>68</v>
      </c>
      <c r="D24" t="s">
        <v>99</v>
      </c>
      <c r="E24" t="s">
        <v>78</v>
      </c>
      <c r="F24" t="s">
        <v>105</v>
      </c>
      <c r="G24" t="s">
        <v>1655</v>
      </c>
      <c r="H24" t="s">
        <v>104</v>
      </c>
      <c r="I24" t="s">
        <v>1713</v>
      </c>
      <c r="J24" t="s">
        <v>1714</v>
      </c>
      <c r="K24" t="s">
        <v>84</v>
      </c>
    </row>
    <row r="25" spans="1:11" x14ac:dyDescent="0.35">
      <c r="A25" t="s">
        <v>23</v>
      </c>
      <c r="B25" t="s">
        <v>24</v>
      </c>
      <c r="C25" t="s">
        <v>68</v>
      </c>
      <c r="D25" t="s">
        <v>108</v>
      </c>
      <c r="E25" t="s">
        <v>78</v>
      </c>
      <c r="F25" t="s">
        <v>110</v>
      </c>
      <c r="G25" t="s">
        <v>1655</v>
      </c>
      <c r="H25" t="s">
        <v>109</v>
      </c>
      <c r="I25" t="s">
        <v>1715</v>
      </c>
      <c r="J25" t="s">
        <v>1716</v>
      </c>
      <c r="K25" t="s">
        <v>84</v>
      </c>
    </row>
    <row r="26" spans="1:11" x14ac:dyDescent="0.35">
      <c r="A26" t="s">
        <v>23</v>
      </c>
      <c r="B26" t="s">
        <v>24</v>
      </c>
      <c r="C26" t="s">
        <v>77</v>
      </c>
      <c r="D26" t="s">
        <v>77</v>
      </c>
      <c r="E26" t="s">
        <v>78</v>
      </c>
      <c r="F26" t="s">
        <v>81</v>
      </c>
      <c r="G26" t="s">
        <v>1655</v>
      </c>
      <c r="H26" t="s">
        <v>1717</v>
      </c>
      <c r="I26" t="s">
        <v>1718</v>
      </c>
      <c r="J26" t="s">
        <v>1719</v>
      </c>
      <c r="K26" t="s">
        <v>84</v>
      </c>
    </row>
    <row r="27" spans="1:11" x14ac:dyDescent="0.35">
      <c r="A27" t="s">
        <v>23</v>
      </c>
      <c r="B27" t="s">
        <v>24</v>
      </c>
      <c r="C27" t="s">
        <v>92</v>
      </c>
      <c r="D27" t="s">
        <v>93</v>
      </c>
      <c r="E27" t="s">
        <v>94</v>
      </c>
      <c r="F27" t="s">
        <v>96</v>
      </c>
      <c r="G27" t="s">
        <v>1655</v>
      </c>
      <c r="H27" t="s">
        <v>95</v>
      </c>
      <c r="I27" t="s">
        <v>1720</v>
      </c>
      <c r="J27" t="s">
        <v>1721</v>
      </c>
      <c r="K27" t="s">
        <v>84</v>
      </c>
    </row>
    <row r="28" spans="1:11" x14ac:dyDescent="0.35">
      <c r="A28" t="s">
        <v>23</v>
      </c>
      <c r="B28" t="s">
        <v>24</v>
      </c>
      <c r="C28" t="s">
        <v>85</v>
      </c>
      <c r="D28" t="s">
        <v>86</v>
      </c>
      <c r="E28" t="s">
        <v>78</v>
      </c>
      <c r="F28" t="s">
        <v>89</v>
      </c>
      <c r="G28" t="s">
        <v>1655</v>
      </c>
      <c r="H28" t="s">
        <v>88</v>
      </c>
      <c r="I28" t="s">
        <v>90</v>
      </c>
      <c r="J28" t="s">
        <v>91</v>
      </c>
      <c r="K28" t="s">
        <v>84</v>
      </c>
    </row>
    <row r="29" spans="1:11" x14ac:dyDescent="0.35">
      <c r="A29" t="s">
        <v>23</v>
      </c>
      <c r="B29" t="s">
        <v>25</v>
      </c>
      <c r="C29" t="s">
        <v>205</v>
      </c>
      <c r="D29" t="s">
        <v>205</v>
      </c>
      <c r="E29" t="s">
        <v>78</v>
      </c>
      <c r="F29" t="s">
        <v>214</v>
      </c>
      <c r="G29" t="s">
        <v>1655</v>
      </c>
      <c r="H29" t="s">
        <v>213</v>
      </c>
      <c r="I29" t="s">
        <v>215</v>
      </c>
      <c r="J29" t="s">
        <v>216</v>
      </c>
      <c r="K29" t="s">
        <v>199</v>
      </c>
    </row>
    <row r="30" spans="1:11" x14ac:dyDescent="0.35">
      <c r="A30" t="s">
        <v>23</v>
      </c>
      <c r="B30" t="s">
        <v>25</v>
      </c>
      <c r="C30" t="s">
        <v>205</v>
      </c>
      <c r="D30" t="s">
        <v>224</v>
      </c>
      <c r="E30" t="s">
        <v>78</v>
      </c>
      <c r="F30" t="s">
        <v>226</v>
      </c>
      <c r="G30" t="s">
        <v>1655</v>
      </c>
      <c r="H30" t="s">
        <v>225</v>
      </c>
      <c r="I30" t="s">
        <v>1722</v>
      </c>
      <c r="J30" t="s">
        <v>1723</v>
      </c>
      <c r="K30" t="s">
        <v>199</v>
      </c>
    </row>
    <row r="31" spans="1:11" x14ac:dyDescent="0.35">
      <c r="A31" t="s">
        <v>23</v>
      </c>
      <c r="B31" t="s">
        <v>25</v>
      </c>
      <c r="C31" t="s">
        <v>200</v>
      </c>
      <c r="D31" t="s">
        <v>200</v>
      </c>
      <c r="E31" t="s">
        <v>262</v>
      </c>
      <c r="F31" t="s">
        <v>1331</v>
      </c>
      <c r="G31" t="s">
        <v>1655</v>
      </c>
      <c r="H31" t="s">
        <v>1724</v>
      </c>
      <c r="I31" t="s">
        <v>265</v>
      </c>
      <c r="J31" t="s">
        <v>266</v>
      </c>
      <c r="K31" t="s">
        <v>199</v>
      </c>
    </row>
    <row r="32" spans="1:11" x14ac:dyDescent="0.35">
      <c r="A32" t="s">
        <v>23</v>
      </c>
      <c r="B32" t="s">
        <v>25</v>
      </c>
      <c r="C32" t="s">
        <v>200</v>
      </c>
      <c r="D32" t="s">
        <v>200</v>
      </c>
      <c r="E32" t="s">
        <v>78</v>
      </c>
      <c r="F32" t="s">
        <v>251</v>
      </c>
      <c r="G32" t="s">
        <v>1655</v>
      </c>
      <c r="H32" t="s">
        <v>250</v>
      </c>
      <c r="I32" t="s">
        <v>252</v>
      </c>
      <c r="J32" t="s">
        <v>253</v>
      </c>
      <c r="K32" t="s">
        <v>199</v>
      </c>
    </row>
    <row r="33" spans="1:11" x14ac:dyDescent="0.35">
      <c r="A33" t="s">
        <v>23</v>
      </c>
      <c r="B33" t="s">
        <v>25</v>
      </c>
      <c r="C33" t="s">
        <v>200</v>
      </c>
      <c r="D33" t="s">
        <v>200</v>
      </c>
      <c r="E33" t="s">
        <v>189</v>
      </c>
      <c r="G33" t="s">
        <v>1655</v>
      </c>
      <c r="H33" t="s">
        <v>201</v>
      </c>
      <c r="I33" t="s">
        <v>203</v>
      </c>
      <c r="J33" t="s">
        <v>204</v>
      </c>
      <c r="K33" t="s">
        <v>199</v>
      </c>
    </row>
    <row r="34" spans="1:11" x14ac:dyDescent="0.35">
      <c r="A34" t="s">
        <v>23</v>
      </c>
      <c r="B34" t="s">
        <v>25</v>
      </c>
      <c r="C34" t="s">
        <v>188</v>
      </c>
      <c r="D34" t="s">
        <v>188</v>
      </c>
      <c r="E34" t="s">
        <v>189</v>
      </c>
      <c r="G34" t="s">
        <v>1655</v>
      </c>
      <c r="H34" t="s">
        <v>190</v>
      </c>
      <c r="I34" t="s">
        <v>193</v>
      </c>
      <c r="J34" t="s">
        <v>194</v>
      </c>
      <c r="K34" t="s">
        <v>199</v>
      </c>
    </row>
    <row r="35" spans="1:11" x14ac:dyDescent="0.35">
      <c r="A35" t="s">
        <v>23</v>
      </c>
      <c r="B35" t="s">
        <v>26</v>
      </c>
      <c r="C35" t="s">
        <v>437</v>
      </c>
      <c r="D35" t="s">
        <v>437</v>
      </c>
      <c r="E35" t="s">
        <v>438</v>
      </c>
      <c r="F35" t="s">
        <v>441</v>
      </c>
      <c r="G35" t="s">
        <v>1655</v>
      </c>
      <c r="H35" t="s">
        <v>440</v>
      </c>
      <c r="I35" t="s">
        <v>1725</v>
      </c>
      <c r="J35" t="s">
        <v>1726</v>
      </c>
      <c r="K35" t="s">
        <v>444</v>
      </c>
    </row>
    <row r="36" spans="1:11" x14ac:dyDescent="0.35">
      <c r="A36" t="s">
        <v>23</v>
      </c>
      <c r="B36" t="s">
        <v>27</v>
      </c>
      <c r="C36" t="s">
        <v>476</v>
      </c>
      <c r="D36" t="s">
        <v>476</v>
      </c>
      <c r="E36" t="s">
        <v>78</v>
      </c>
      <c r="F36" t="s">
        <v>484</v>
      </c>
      <c r="G36" t="s">
        <v>1655</v>
      </c>
      <c r="H36" t="s">
        <v>483</v>
      </c>
      <c r="I36" t="s">
        <v>485</v>
      </c>
      <c r="J36" t="s">
        <v>486</v>
      </c>
      <c r="K36" t="s">
        <v>482</v>
      </c>
    </row>
    <row r="37" spans="1:11" x14ac:dyDescent="0.35">
      <c r="A37" t="s">
        <v>23</v>
      </c>
      <c r="B37" t="s">
        <v>27</v>
      </c>
      <c r="C37" t="s">
        <v>487</v>
      </c>
      <c r="D37" t="s">
        <v>487</v>
      </c>
      <c r="E37" t="s">
        <v>78</v>
      </c>
      <c r="F37" t="s">
        <v>489</v>
      </c>
      <c r="G37" t="s">
        <v>1655</v>
      </c>
      <c r="H37" t="s">
        <v>488</v>
      </c>
      <c r="I37" t="s">
        <v>490</v>
      </c>
      <c r="J37" t="s">
        <v>491</v>
      </c>
      <c r="K37" t="s">
        <v>482</v>
      </c>
    </row>
    <row r="38" spans="1:11" x14ac:dyDescent="0.35">
      <c r="A38" t="s">
        <v>23</v>
      </c>
      <c r="B38" t="s">
        <v>27</v>
      </c>
      <c r="C38" t="s">
        <v>487</v>
      </c>
      <c r="D38" t="s">
        <v>487</v>
      </c>
      <c r="E38" t="s">
        <v>78</v>
      </c>
      <c r="F38" t="s">
        <v>493</v>
      </c>
      <c r="G38" t="s">
        <v>1655</v>
      </c>
      <c r="H38" t="s">
        <v>492</v>
      </c>
      <c r="I38" t="s">
        <v>494</v>
      </c>
      <c r="J38" t="s">
        <v>495</v>
      </c>
      <c r="K38" t="s">
        <v>482</v>
      </c>
    </row>
    <row r="39" spans="1:11" x14ac:dyDescent="0.35">
      <c r="A39" t="s">
        <v>23</v>
      </c>
      <c r="B39" t="s">
        <v>24</v>
      </c>
      <c r="C39" t="s">
        <v>68</v>
      </c>
      <c r="D39" t="s">
        <v>99</v>
      </c>
      <c r="E39" t="s">
        <v>78</v>
      </c>
      <c r="F39" t="s">
        <v>114</v>
      </c>
      <c r="G39" t="s">
        <v>1727</v>
      </c>
      <c r="H39" t="s">
        <v>113</v>
      </c>
      <c r="I39" t="s">
        <v>1728</v>
      </c>
      <c r="J39" t="s">
        <v>1729</v>
      </c>
      <c r="K39" t="s">
        <v>84</v>
      </c>
    </row>
    <row r="40" spans="1:11" x14ac:dyDescent="0.35">
      <c r="A40" t="s">
        <v>23</v>
      </c>
      <c r="B40" t="s">
        <v>24</v>
      </c>
      <c r="C40" t="s">
        <v>68</v>
      </c>
      <c r="D40" t="s">
        <v>99</v>
      </c>
      <c r="E40" t="s">
        <v>78</v>
      </c>
      <c r="F40" t="s">
        <v>119</v>
      </c>
      <c r="G40" t="s">
        <v>117</v>
      </c>
      <c r="H40" t="s">
        <v>118</v>
      </c>
      <c r="I40" t="s">
        <v>1730</v>
      </c>
      <c r="J40" t="s">
        <v>1731</v>
      </c>
      <c r="K40" t="s">
        <v>84</v>
      </c>
    </row>
    <row r="41" spans="1:11" x14ac:dyDescent="0.35">
      <c r="A41" t="s">
        <v>23</v>
      </c>
      <c r="B41" t="s">
        <v>24</v>
      </c>
      <c r="C41" t="s">
        <v>68</v>
      </c>
      <c r="D41" t="s">
        <v>99</v>
      </c>
      <c r="E41" t="s">
        <v>78</v>
      </c>
      <c r="F41" t="s">
        <v>123</v>
      </c>
      <c r="G41" t="s">
        <v>1271</v>
      </c>
      <c r="H41" t="s">
        <v>122</v>
      </c>
      <c r="I41" t="s">
        <v>1732</v>
      </c>
      <c r="J41" t="s">
        <v>1733</v>
      </c>
      <c r="K41" t="s">
        <v>84</v>
      </c>
    </row>
    <row r="42" spans="1:11" x14ac:dyDescent="0.35">
      <c r="A42" t="s">
        <v>23</v>
      </c>
      <c r="B42" t="s">
        <v>25</v>
      </c>
      <c r="C42" t="s">
        <v>205</v>
      </c>
      <c r="D42" t="s">
        <v>234</v>
      </c>
      <c r="E42" t="s">
        <v>235</v>
      </c>
      <c r="F42" t="s">
        <v>238</v>
      </c>
      <c r="G42" t="s">
        <v>238</v>
      </c>
      <c r="H42" t="s">
        <v>237</v>
      </c>
      <c r="I42" t="s">
        <v>1734</v>
      </c>
      <c r="J42" t="s">
        <v>1735</v>
      </c>
      <c r="K42" t="s">
        <v>199</v>
      </c>
    </row>
    <row r="43" spans="1:11" x14ac:dyDescent="0.35">
      <c r="A43" t="s">
        <v>23</v>
      </c>
      <c r="B43" t="s">
        <v>25</v>
      </c>
      <c r="C43" t="s">
        <v>205</v>
      </c>
      <c r="D43" t="s">
        <v>217</v>
      </c>
      <c r="E43" t="s">
        <v>218</v>
      </c>
      <c r="F43" t="s">
        <v>221</v>
      </c>
      <c r="G43" t="s">
        <v>219</v>
      </c>
      <c r="H43" t="s">
        <v>220</v>
      </c>
      <c r="I43" t="s">
        <v>1736</v>
      </c>
      <c r="J43" t="s">
        <v>1737</v>
      </c>
      <c r="K43" t="s">
        <v>199</v>
      </c>
    </row>
    <row r="44" spans="1:11" x14ac:dyDescent="0.35">
      <c r="A44" t="s">
        <v>23</v>
      </c>
      <c r="B44" t="s">
        <v>25</v>
      </c>
      <c r="C44" t="s">
        <v>200</v>
      </c>
      <c r="D44" t="s">
        <v>200</v>
      </c>
      <c r="E44" t="s">
        <v>78</v>
      </c>
      <c r="F44" t="s">
        <v>256</v>
      </c>
      <c r="G44" t="s">
        <v>254</v>
      </c>
      <c r="H44" t="s">
        <v>255</v>
      </c>
      <c r="I44" t="s">
        <v>1738</v>
      </c>
      <c r="J44" t="s">
        <v>1739</v>
      </c>
      <c r="K44" t="s">
        <v>199</v>
      </c>
    </row>
    <row r="45" spans="1:11" x14ac:dyDescent="0.35">
      <c r="A45" t="s">
        <v>23</v>
      </c>
      <c r="B45" t="s">
        <v>25</v>
      </c>
      <c r="C45" t="s">
        <v>200</v>
      </c>
      <c r="D45" t="s">
        <v>200</v>
      </c>
      <c r="E45" t="s">
        <v>78</v>
      </c>
      <c r="F45" t="s">
        <v>259</v>
      </c>
      <c r="G45" t="s">
        <v>257</v>
      </c>
      <c r="H45" t="s">
        <v>258</v>
      </c>
      <c r="I45" t="s">
        <v>1740</v>
      </c>
      <c r="J45" t="s">
        <v>1741</v>
      </c>
      <c r="K45" t="s">
        <v>199</v>
      </c>
    </row>
    <row r="46" spans="1:11" x14ac:dyDescent="0.35">
      <c r="A46" t="s">
        <v>23</v>
      </c>
      <c r="B46" t="s">
        <v>25</v>
      </c>
      <c r="C46" t="s">
        <v>205</v>
      </c>
      <c r="D46" t="s">
        <v>224</v>
      </c>
      <c r="E46" t="s">
        <v>78</v>
      </c>
      <c r="F46" t="s">
        <v>231</v>
      </c>
      <c r="G46" t="s">
        <v>229</v>
      </c>
      <c r="H46" t="s">
        <v>230</v>
      </c>
      <c r="I46" t="s">
        <v>1742</v>
      </c>
      <c r="J46" t="s">
        <v>1743</v>
      </c>
      <c r="K46" t="s">
        <v>199</v>
      </c>
    </row>
    <row r="47" spans="1:11" x14ac:dyDescent="0.35">
      <c r="A47" t="s">
        <v>23</v>
      </c>
      <c r="B47" t="s">
        <v>26</v>
      </c>
      <c r="C47" t="s">
        <v>437</v>
      </c>
      <c r="D47" t="s">
        <v>437</v>
      </c>
      <c r="E47" t="s">
        <v>438</v>
      </c>
      <c r="F47" t="s">
        <v>446</v>
      </c>
      <c r="G47" t="s">
        <v>1319</v>
      </c>
      <c r="H47" t="s">
        <v>445</v>
      </c>
      <c r="I47" t="s">
        <v>1744</v>
      </c>
      <c r="J47" t="s">
        <v>1745</v>
      </c>
      <c r="K47" t="s">
        <v>444</v>
      </c>
    </row>
    <row r="48" spans="1:11" x14ac:dyDescent="0.35">
      <c r="A48" t="s">
        <v>23</v>
      </c>
      <c r="B48" t="s">
        <v>26</v>
      </c>
      <c r="C48" t="s">
        <v>1746</v>
      </c>
      <c r="D48" t="s">
        <v>1746</v>
      </c>
      <c r="E48" t="s">
        <v>438</v>
      </c>
      <c r="F48" t="s">
        <v>454</v>
      </c>
      <c r="G48" t="s">
        <v>1747</v>
      </c>
      <c r="H48" t="s">
        <v>453</v>
      </c>
      <c r="I48" t="s">
        <v>1748</v>
      </c>
      <c r="J48" t="s">
        <v>1749</v>
      </c>
      <c r="K48" t="s">
        <v>444</v>
      </c>
    </row>
    <row r="49" spans="1:11" x14ac:dyDescent="0.35">
      <c r="A49" t="s">
        <v>23</v>
      </c>
      <c r="B49" t="s">
        <v>26</v>
      </c>
      <c r="C49" t="s">
        <v>437</v>
      </c>
      <c r="D49" t="s">
        <v>437</v>
      </c>
      <c r="E49" t="s">
        <v>448</v>
      </c>
      <c r="F49" t="s">
        <v>1750</v>
      </c>
      <c r="G49" t="s">
        <v>462</v>
      </c>
      <c r="H49" t="s">
        <v>463</v>
      </c>
      <c r="I49" t="s">
        <v>464</v>
      </c>
      <c r="J49" t="s">
        <v>465</v>
      </c>
      <c r="K49" t="s">
        <v>1751</v>
      </c>
    </row>
    <row r="50" spans="1:11" x14ac:dyDescent="0.35">
      <c r="A50" t="s">
        <v>23</v>
      </c>
      <c r="B50" t="s">
        <v>26</v>
      </c>
      <c r="C50" t="s">
        <v>447</v>
      </c>
      <c r="D50" t="s">
        <v>447</v>
      </c>
      <c r="E50" t="s">
        <v>448</v>
      </c>
      <c r="G50" t="s">
        <v>449</v>
      </c>
      <c r="H50" t="s">
        <v>450</v>
      </c>
      <c r="I50" t="s">
        <v>1752</v>
      </c>
      <c r="J50" t="s">
        <v>1753</v>
      </c>
      <c r="K50" t="s">
        <v>1751</v>
      </c>
    </row>
    <row r="51" spans="1:11" x14ac:dyDescent="0.35">
      <c r="A51" t="s">
        <v>23</v>
      </c>
      <c r="B51" t="s">
        <v>26</v>
      </c>
      <c r="C51" t="s">
        <v>457</v>
      </c>
      <c r="D51" t="s">
        <v>457</v>
      </c>
      <c r="E51" t="s">
        <v>448</v>
      </c>
      <c r="G51" t="s">
        <v>458</v>
      </c>
      <c r="H51" t="s">
        <v>459</v>
      </c>
      <c r="I51" t="s">
        <v>460</v>
      </c>
      <c r="J51" t="s">
        <v>461</v>
      </c>
      <c r="K51" t="s">
        <v>1751</v>
      </c>
    </row>
    <row r="52" spans="1:11" x14ac:dyDescent="0.35">
      <c r="A52" t="s">
        <v>23</v>
      </c>
      <c r="B52" t="s">
        <v>27</v>
      </c>
      <c r="C52" t="s">
        <v>487</v>
      </c>
      <c r="D52" t="s">
        <v>487</v>
      </c>
      <c r="E52" t="s">
        <v>78</v>
      </c>
      <c r="F52" t="s">
        <v>498</v>
      </c>
      <c r="G52" t="s">
        <v>496</v>
      </c>
      <c r="H52" t="s">
        <v>497</v>
      </c>
      <c r="I52" t="s">
        <v>499</v>
      </c>
      <c r="J52" t="s">
        <v>500</v>
      </c>
      <c r="K52" t="s">
        <v>482</v>
      </c>
    </row>
    <row r="53" spans="1:11" x14ac:dyDescent="0.35">
      <c r="A53" t="s">
        <v>23</v>
      </c>
      <c r="B53" t="s">
        <v>27</v>
      </c>
      <c r="C53" t="s">
        <v>487</v>
      </c>
      <c r="D53" t="s">
        <v>487</v>
      </c>
      <c r="E53" t="s">
        <v>207</v>
      </c>
      <c r="F53" t="s">
        <v>503</v>
      </c>
      <c r="G53" t="s">
        <v>1314</v>
      </c>
      <c r="H53" t="s">
        <v>502</v>
      </c>
      <c r="I53" t="s">
        <v>504</v>
      </c>
      <c r="J53" t="s">
        <v>505</v>
      </c>
      <c r="K53" t="s">
        <v>482</v>
      </c>
    </row>
    <row r="54" spans="1:11" x14ac:dyDescent="0.35">
      <c r="A54" t="s">
        <v>23</v>
      </c>
      <c r="B54" t="s">
        <v>27</v>
      </c>
      <c r="C54" t="s">
        <v>476</v>
      </c>
      <c r="D54" t="s">
        <v>476</v>
      </c>
      <c r="E54" t="s">
        <v>207</v>
      </c>
      <c r="F54" t="s">
        <v>1754</v>
      </c>
      <c r="G54" t="s">
        <v>477</v>
      </c>
      <c r="H54" t="s">
        <v>1755</v>
      </c>
      <c r="I54" t="s">
        <v>480</v>
      </c>
      <c r="J54" t="s">
        <v>481</v>
      </c>
      <c r="K54" t="s">
        <v>482</v>
      </c>
    </row>
    <row r="55" spans="1:11" x14ac:dyDescent="0.35">
      <c r="A55" t="s">
        <v>23</v>
      </c>
      <c r="B55" t="s">
        <v>506</v>
      </c>
      <c r="C55" t="s">
        <v>507</v>
      </c>
      <c r="D55" t="s">
        <v>507</v>
      </c>
      <c r="E55" t="s">
        <v>508</v>
      </c>
      <c r="G55" t="s">
        <v>509</v>
      </c>
      <c r="H55" t="s">
        <v>510</v>
      </c>
      <c r="I55" t="s">
        <v>512</v>
      </c>
      <c r="J55" t="s">
        <v>513</v>
      </c>
      <c r="K55" t="s">
        <v>1756</v>
      </c>
    </row>
    <row r="56" spans="1:11" x14ac:dyDescent="0.35">
      <c r="A56" t="s">
        <v>23</v>
      </c>
      <c r="B56" t="s">
        <v>28</v>
      </c>
      <c r="C56" t="s">
        <v>28</v>
      </c>
      <c r="D56" t="s">
        <v>633</v>
      </c>
      <c r="E56" t="s">
        <v>235</v>
      </c>
      <c r="F56" t="s">
        <v>648</v>
      </c>
      <c r="G56" t="s">
        <v>648</v>
      </c>
      <c r="H56" t="s">
        <v>649</v>
      </c>
      <c r="I56" t="s">
        <v>1757</v>
      </c>
      <c r="J56" t="s">
        <v>1758</v>
      </c>
      <c r="K56" t="s">
        <v>1759</v>
      </c>
    </row>
    <row r="57" spans="1:11" x14ac:dyDescent="0.35">
      <c r="A57" t="s">
        <v>23</v>
      </c>
      <c r="B57" t="s">
        <v>28</v>
      </c>
      <c r="C57" t="s">
        <v>28</v>
      </c>
      <c r="D57" t="s">
        <v>633</v>
      </c>
      <c r="E57" t="s">
        <v>634</v>
      </c>
      <c r="G57" t="s">
        <v>635</v>
      </c>
      <c r="H57" t="s">
        <v>636</v>
      </c>
      <c r="I57" t="s">
        <v>1760</v>
      </c>
      <c r="J57" t="s">
        <v>1761</v>
      </c>
      <c r="K57" t="s">
        <v>640</v>
      </c>
    </row>
    <row r="58" spans="1:11" x14ac:dyDescent="0.35">
      <c r="A58" t="s">
        <v>23</v>
      </c>
      <c r="B58" t="s">
        <v>28</v>
      </c>
      <c r="C58" t="s">
        <v>28</v>
      </c>
      <c r="D58" t="s">
        <v>641</v>
      </c>
      <c r="E58" t="s">
        <v>207</v>
      </c>
      <c r="G58" t="s">
        <v>642</v>
      </c>
      <c r="H58" t="s">
        <v>643</v>
      </c>
      <c r="I58" t="s">
        <v>1762</v>
      </c>
      <c r="J58" t="s">
        <v>1763</v>
      </c>
      <c r="K58" t="s">
        <v>647</v>
      </c>
    </row>
    <row r="59" spans="1:11" x14ac:dyDescent="0.35">
      <c r="A59" t="s">
        <v>23</v>
      </c>
      <c r="B59" t="s">
        <v>28</v>
      </c>
      <c r="C59" t="s">
        <v>28</v>
      </c>
      <c r="D59" t="s">
        <v>627</v>
      </c>
      <c r="E59" t="s">
        <v>78</v>
      </c>
      <c r="F59" t="s">
        <v>654</v>
      </c>
      <c r="G59" t="s">
        <v>1764</v>
      </c>
      <c r="H59" t="s">
        <v>653</v>
      </c>
      <c r="I59" t="s">
        <v>655</v>
      </c>
      <c r="J59" t="s">
        <v>656</v>
      </c>
      <c r="K59" t="s">
        <v>626</v>
      </c>
    </row>
    <row r="60" spans="1:11" x14ac:dyDescent="0.35">
      <c r="A60" t="s">
        <v>23</v>
      </c>
      <c r="B60" t="s">
        <v>28</v>
      </c>
      <c r="C60" t="s">
        <v>28</v>
      </c>
      <c r="D60" t="s">
        <v>620</v>
      </c>
      <c r="E60" t="s">
        <v>78</v>
      </c>
      <c r="F60" t="s">
        <v>623</v>
      </c>
      <c r="G60" t="s">
        <v>621</v>
      </c>
      <c r="H60" t="s">
        <v>622</v>
      </c>
      <c r="I60" t="s">
        <v>624</v>
      </c>
      <c r="J60" t="s">
        <v>625</v>
      </c>
      <c r="K60" t="s">
        <v>626</v>
      </c>
    </row>
    <row r="61" spans="1:11" x14ac:dyDescent="0.35">
      <c r="A61" t="s">
        <v>23</v>
      </c>
      <c r="B61" t="s">
        <v>28</v>
      </c>
      <c r="C61" t="s">
        <v>28</v>
      </c>
      <c r="D61" t="s">
        <v>627</v>
      </c>
      <c r="E61" t="s">
        <v>78</v>
      </c>
      <c r="F61" t="s">
        <v>630</v>
      </c>
      <c r="G61" t="s">
        <v>628</v>
      </c>
      <c r="H61" t="s">
        <v>629</v>
      </c>
      <c r="I61" t="s">
        <v>631</v>
      </c>
      <c r="J61" t="s">
        <v>632</v>
      </c>
      <c r="K61" t="s">
        <v>626</v>
      </c>
    </row>
    <row r="62" spans="1:11" x14ac:dyDescent="0.35">
      <c r="A62" t="s">
        <v>30</v>
      </c>
      <c r="B62" t="s">
        <v>31</v>
      </c>
      <c r="C62" t="s">
        <v>274</v>
      </c>
      <c r="D62" t="s">
        <v>324</v>
      </c>
      <c r="E62" t="s">
        <v>78</v>
      </c>
      <c r="F62" t="s">
        <v>326</v>
      </c>
      <c r="G62" t="s">
        <v>1655</v>
      </c>
      <c r="H62" t="s">
        <v>325</v>
      </c>
      <c r="I62" t="s">
        <v>1765</v>
      </c>
      <c r="J62" t="s">
        <v>1766</v>
      </c>
      <c r="K62" t="s">
        <v>329</v>
      </c>
    </row>
    <row r="63" spans="1:11" x14ac:dyDescent="0.35">
      <c r="A63" t="s">
        <v>30</v>
      </c>
      <c r="B63" t="s">
        <v>31</v>
      </c>
      <c r="C63" t="s">
        <v>274</v>
      </c>
      <c r="D63" t="s">
        <v>324</v>
      </c>
      <c r="E63" t="s">
        <v>78</v>
      </c>
      <c r="F63" t="s">
        <v>345</v>
      </c>
      <c r="G63" t="s">
        <v>1655</v>
      </c>
      <c r="H63" t="s">
        <v>344</v>
      </c>
      <c r="I63" t="s">
        <v>1767</v>
      </c>
      <c r="J63" t="s">
        <v>1768</v>
      </c>
      <c r="K63" t="s">
        <v>329</v>
      </c>
    </row>
    <row r="64" spans="1:11" x14ac:dyDescent="0.35">
      <c r="A64" t="s">
        <v>30</v>
      </c>
      <c r="B64" t="s">
        <v>31</v>
      </c>
      <c r="C64" t="s">
        <v>274</v>
      </c>
      <c r="D64" t="s">
        <v>324</v>
      </c>
      <c r="E64" t="s">
        <v>78</v>
      </c>
      <c r="F64" t="s">
        <v>354</v>
      </c>
      <c r="G64" t="s">
        <v>1655</v>
      </c>
      <c r="H64" t="s">
        <v>353</v>
      </c>
      <c r="I64" t="s">
        <v>1769</v>
      </c>
      <c r="J64" t="s">
        <v>1770</v>
      </c>
      <c r="K64" t="s">
        <v>329</v>
      </c>
    </row>
    <row r="65" spans="1:11" x14ac:dyDescent="0.35">
      <c r="A65" t="s">
        <v>30</v>
      </c>
      <c r="B65" t="s">
        <v>31</v>
      </c>
      <c r="C65" t="s">
        <v>274</v>
      </c>
      <c r="D65" t="s">
        <v>324</v>
      </c>
      <c r="E65" t="s">
        <v>78</v>
      </c>
      <c r="F65" t="s">
        <v>1771</v>
      </c>
      <c r="G65" t="s">
        <v>1655</v>
      </c>
      <c r="H65" t="s">
        <v>339</v>
      </c>
      <c r="I65" t="s">
        <v>1772</v>
      </c>
      <c r="J65" t="s">
        <v>1773</v>
      </c>
      <c r="K65" t="s">
        <v>329</v>
      </c>
    </row>
    <row r="66" spans="1:11" x14ac:dyDescent="0.35">
      <c r="A66" t="s">
        <v>30</v>
      </c>
      <c r="B66" t="s">
        <v>31</v>
      </c>
      <c r="C66" t="s">
        <v>274</v>
      </c>
      <c r="D66" t="s">
        <v>300</v>
      </c>
      <c r="E66" t="s">
        <v>246</v>
      </c>
      <c r="F66" t="s">
        <v>302</v>
      </c>
      <c r="G66" t="s">
        <v>1655</v>
      </c>
      <c r="H66" t="s">
        <v>301</v>
      </c>
      <c r="I66" t="s">
        <v>1774</v>
      </c>
      <c r="J66" t="s">
        <v>1775</v>
      </c>
      <c r="K66" t="s">
        <v>1776</v>
      </c>
    </row>
    <row r="67" spans="1:11" x14ac:dyDescent="0.35">
      <c r="A67" t="s">
        <v>30</v>
      </c>
      <c r="B67" t="s">
        <v>31</v>
      </c>
      <c r="C67" t="s">
        <v>310</v>
      </c>
      <c r="D67" t="s">
        <v>310</v>
      </c>
      <c r="E67" t="s">
        <v>311</v>
      </c>
      <c r="F67" t="s">
        <v>313</v>
      </c>
      <c r="G67" t="s">
        <v>1655</v>
      </c>
      <c r="H67" t="s">
        <v>312</v>
      </c>
      <c r="I67" t="s">
        <v>1777</v>
      </c>
      <c r="J67" t="s">
        <v>1778</v>
      </c>
      <c r="K67" t="s">
        <v>316</v>
      </c>
    </row>
    <row r="68" spans="1:11" x14ac:dyDescent="0.35">
      <c r="A68" t="s">
        <v>30</v>
      </c>
      <c r="B68" t="s">
        <v>31</v>
      </c>
      <c r="C68" t="s">
        <v>310</v>
      </c>
      <c r="D68" t="s">
        <v>310</v>
      </c>
      <c r="E68" t="s">
        <v>311</v>
      </c>
      <c r="F68" t="s">
        <v>313</v>
      </c>
      <c r="G68" t="s">
        <v>1655</v>
      </c>
      <c r="H68" t="s">
        <v>312</v>
      </c>
      <c r="I68" t="s">
        <v>1779</v>
      </c>
      <c r="J68" t="s">
        <v>1780</v>
      </c>
      <c r="K68" t="s">
        <v>316</v>
      </c>
    </row>
    <row r="69" spans="1:11" x14ac:dyDescent="0.35">
      <c r="A69" t="s">
        <v>30</v>
      </c>
      <c r="B69" t="s">
        <v>31</v>
      </c>
      <c r="C69" t="s">
        <v>274</v>
      </c>
      <c r="D69" t="s">
        <v>274</v>
      </c>
      <c r="E69" t="s">
        <v>382</v>
      </c>
      <c r="F69" t="s">
        <v>384</v>
      </c>
      <c r="G69" t="s">
        <v>1655</v>
      </c>
      <c r="H69" t="s">
        <v>383</v>
      </c>
      <c r="I69" t="s">
        <v>1781</v>
      </c>
      <c r="J69" t="s">
        <v>1782</v>
      </c>
      <c r="K69" t="s">
        <v>391</v>
      </c>
    </row>
    <row r="70" spans="1:11" x14ac:dyDescent="0.35">
      <c r="A70" t="s">
        <v>30</v>
      </c>
      <c r="B70" t="s">
        <v>31</v>
      </c>
      <c r="C70" t="s">
        <v>274</v>
      </c>
      <c r="D70" t="s">
        <v>274</v>
      </c>
      <c r="E70" t="s">
        <v>382</v>
      </c>
      <c r="F70" t="s">
        <v>388</v>
      </c>
      <c r="G70" t="s">
        <v>1655</v>
      </c>
      <c r="H70" t="s">
        <v>387</v>
      </c>
      <c r="I70" t="s">
        <v>1783</v>
      </c>
      <c r="J70" t="s">
        <v>1784</v>
      </c>
      <c r="K70" t="s">
        <v>391</v>
      </c>
    </row>
    <row r="71" spans="1:11" x14ac:dyDescent="0.35">
      <c r="A71" t="s">
        <v>30</v>
      </c>
      <c r="B71" t="s">
        <v>31</v>
      </c>
      <c r="C71" t="s">
        <v>289</v>
      </c>
      <c r="D71" t="s">
        <v>289</v>
      </c>
      <c r="E71" t="s">
        <v>246</v>
      </c>
      <c r="F71" t="s">
        <v>291</v>
      </c>
      <c r="G71" t="s">
        <v>1655</v>
      </c>
      <c r="H71" t="s">
        <v>290</v>
      </c>
      <c r="I71" t="s">
        <v>1785</v>
      </c>
      <c r="J71" t="s">
        <v>1786</v>
      </c>
      <c r="K71" t="s">
        <v>294</v>
      </c>
    </row>
    <row r="72" spans="1:11" x14ac:dyDescent="0.35">
      <c r="A72" t="s">
        <v>30</v>
      </c>
      <c r="B72" t="s">
        <v>31</v>
      </c>
      <c r="C72" t="s">
        <v>274</v>
      </c>
      <c r="D72" t="s">
        <v>330</v>
      </c>
      <c r="E72" t="s">
        <v>78</v>
      </c>
      <c r="F72" t="s">
        <v>332</v>
      </c>
      <c r="G72" t="s">
        <v>1787</v>
      </c>
      <c r="H72" t="s">
        <v>331</v>
      </c>
      <c r="I72" t="s">
        <v>1788</v>
      </c>
      <c r="J72" t="s">
        <v>1789</v>
      </c>
      <c r="K72" t="s">
        <v>329</v>
      </c>
    </row>
    <row r="73" spans="1:11" x14ac:dyDescent="0.35">
      <c r="A73" t="s">
        <v>30</v>
      </c>
      <c r="B73" t="s">
        <v>31</v>
      </c>
      <c r="C73" t="s">
        <v>274</v>
      </c>
      <c r="D73" t="s">
        <v>330</v>
      </c>
      <c r="E73" t="s">
        <v>78</v>
      </c>
      <c r="F73" t="s">
        <v>336</v>
      </c>
      <c r="G73" t="s">
        <v>1048</v>
      </c>
      <c r="H73" t="s">
        <v>331</v>
      </c>
      <c r="I73" t="s">
        <v>1790</v>
      </c>
      <c r="J73" t="s">
        <v>1791</v>
      </c>
      <c r="K73" t="s">
        <v>329</v>
      </c>
    </row>
    <row r="74" spans="1:11" x14ac:dyDescent="0.35">
      <c r="A74" t="s">
        <v>30</v>
      </c>
      <c r="B74" t="s">
        <v>31</v>
      </c>
      <c r="C74" t="s">
        <v>274</v>
      </c>
      <c r="D74" t="s">
        <v>337</v>
      </c>
      <c r="E74" t="s">
        <v>78</v>
      </c>
      <c r="F74" t="s">
        <v>340</v>
      </c>
      <c r="G74" t="s">
        <v>1062</v>
      </c>
      <c r="H74" t="s">
        <v>339</v>
      </c>
      <c r="I74" t="s">
        <v>1792</v>
      </c>
      <c r="J74" t="s">
        <v>1793</v>
      </c>
      <c r="K74" t="s">
        <v>329</v>
      </c>
    </row>
    <row r="75" spans="1:11" x14ac:dyDescent="0.35">
      <c r="A75" t="s">
        <v>30</v>
      </c>
      <c r="B75" t="s">
        <v>31</v>
      </c>
      <c r="C75" t="s">
        <v>274</v>
      </c>
      <c r="D75" t="s">
        <v>324</v>
      </c>
      <c r="E75" t="s">
        <v>78</v>
      </c>
      <c r="F75" t="s">
        <v>350</v>
      </c>
      <c r="G75" t="s">
        <v>348</v>
      </c>
      <c r="H75" t="s">
        <v>349</v>
      </c>
      <c r="I75" t="s">
        <v>1794</v>
      </c>
      <c r="J75" t="s">
        <v>1795</v>
      </c>
      <c r="K75" t="s">
        <v>329</v>
      </c>
    </row>
    <row r="76" spans="1:11" x14ac:dyDescent="0.35">
      <c r="A76" t="s">
        <v>30</v>
      </c>
      <c r="B76" t="s">
        <v>31</v>
      </c>
      <c r="C76" t="s">
        <v>317</v>
      </c>
      <c r="D76" t="s">
        <v>317</v>
      </c>
      <c r="E76" t="s">
        <v>78</v>
      </c>
      <c r="F76" t="s">
        <v>320</v>
      </c>
      <c r="G76" t="s">
        <v>318</v>
      </c>
      <c r="H76" t="s">
        <v>319</v>
      </c>
      <c r="I76" t="s">
        <v>1796</v>
      </c>
      <c r="J76" t="s">
        <v>1797</v>
      </c>
      <c r="K76" t="s">
        <v>323</v>
      </c>
    </row>
    <row r="77" spans="1:11" x14ac:dyDescent="0.35">
      <c r="A77" t="s">
        <v>30</v>
      </c>
      <c r="B77" t="s">
        <v>31</v>
      </c>
      <c r="C77" t="s">
        <v>374</v>
      </c>
      <c r="D77" t="s">
        <v>375</v>
      </c>
      <c r="E77" t="s">
        <v>283</v>
      </c>
      <c r="F77" t="s">
        <v>378</v>
      </c>
      <c r="G77" t="s">
        <v>1008</v>
      </c>
      <c r="H77" t="s">
        <v>377</v>
      </c>
      <c r="I77" t="s">
        <v>1798</v>
      </c>
      <c r="J77" t="s">
        <v>1799</v>
      </c>
      <c r="K77" t="s">
        <v>1800</v>
      </c>
    </row>
    <row r="78" spans="1:11" x14ac:dyDescent="0.35">
      <c r="A78" t="s">
        <v>30</v>
      </c>
      <c r="B78" t="s">
        <v>31</v>
      </c>
      <c r="C78" t="s">
        <v>274</v>
      </c>
      <c r="D78" t="s">
        <v>397</v>
      </c>
      <c r="E78" t="s">
        <v>283</v>
      </c>
      <c r="F78" t="s">
        <v>1801</v>
      </c>
      <c r="G78" t="s">
        <v>1802</v>
      </c>
      <c r="H78" t="s">
        <v>399</v>
      </c>
      <c r="I78" t="s">
        <v>1803</v>
      </c>
      <c r="J78" t="s">
        <v>1804</v>
      </c>
      <c r="K78" t="s">
        <v>403</v>
      </c>
    </row>
    <row r="79" spans="1:11" x14ac:dyDescent="0.35">
      <c r="A79" t="s">
        <v>30</v>
      </c>
      <c r="B79" t="s">
        <v>31</v>
      </c>
      <c r="C79" t="s">
        <v>357</v>
      </c>
      <c r="D79" t="s">
        <v>358</v>
      </c>
      <c r="E79" t="s">
        <v>283</v>
      </c>
      <c r="F79" t="s">
        <v>1805</v>
      </c>
      <c r="G79" t="s">
        <v>1806</v>
      </c>
      <c r="H79" t="s">
        <v>1807</v>
      </c>
      <c r="I79" t="s">
        <v>1808</v>
      </c>
      <c r="J79" t="s">
        <v>1809</v>
      </c>
      <c r="K79" t="s">
        <v>364</v>
      </c>
    </row>
    <row r="80" spans="1:11" x14ac:dyDescent="0.35">
      <c r="A80" t="s">
        <v>30</v>
      </c>
      <c r="B80" t="s">
        <v>31</v>
      </c>
      <c r="C80" t="s">
        <v>365</v>
      </c>
      <c r="D80" t="s">
        <v>366</v>
      </c>
      <c r="E80" t="s">
        <v>283</v>
      </c>
      <c r="F80" t="s">
        <v>1810</v>
      </c>
      <c r="G80" t="s">
        <v>1811</v>
      </c>
      <c r="H80" t="s">
        <v>368</v>
      </c>
      <c r="I80" t="s">
        <v>1812</v>
      </c>
      <c r="J80" t="s">
        <v>1813</v>
      </c>
      <c r="K80" t="s">
        <v>372</v>
      </c>
    </row>
    <row r="81" spans="1:11" x14ac:dyDescent="0.35">
      <c r="A81" t="s">
        <v>30</v>
      </c>
      <c r="B81" t="s">
        <v>31</v>
      </c>
      <c r="C81" t="s">
        <v>274</v>
      </c>
      <c r="D81" t="s">
        <v>404</v>
      </c>
      <c r="E81" t="s">
        <v>283</v>
      </c>
      <c r="F81" t="s">
        <v>1814</v>
      </c>
      <c r="G81" t="s">
        <v>405</v>
      </c>
      <c r="H81" t="s">
        <v>406</v>
      </c>
      <c r="I81" t="s">
        <v>1815</v>
      </c>
      <c r="J81" t="s">
        <v>1816</v>
      </c>
      <c r="K81" t="s">
        <v>410</v>
      </c>
    </row>
    <row r="82" spans="1:11" x14ac:dyDescent="0.35">
      <c r="A82" t="s">
        <v>30</v>
      </c>
      <c r="B82" t="s">
        <v>31</v>
      </c>
      <c r="C82" t="s">
        <v>274</v>
      </c>
      <c r="D82" t="s">
        <v>305</v>
      </c>
      <c r="E82" t="s">
        <v>246</v>
      </c>
      <c r="F82" t="s">
        <v>307</v>
      </c>
      <c r="G82" t="s">
        <v>1817</v>
      </c>
      <c r="H82" t="s">
        <v>306</v>
      </c>
      <c r="I82" t="s">
        <v>1818</v>
      </c>
      <c r="J82" t="s">
        <v>1819</v>
      </c>
      <c r="K82" t="s">
        <v>1776</v>
      </c>
    </row>
    <row r="83" spans="1:11" x14ac:dyDescent="0.35">
      <c r="A83" t="s">
        <v>30</v>
      </c>
      <c r="B83" t="s">
        <v>31</v>
      </c>
      <c r="C83" t="s">
        <v>274</v>
      </c>
      <c r="D83" t="s">
        <v>274</v>
      </c>
      <c r="E83" t="s">
        <v>382</v>
      </c>
      <c r="F83" t="s">
        <v>1820</v>
      </c>
      <c r="G83" t="s">
        <v>1821</v>
      </c>
      <c r="H83" t="s">
        <v>1822</v>
      </c>
      <c r="I83" t="s">
        <v>1823</v>
      </c>
      <c r="J83" t="s">
        <v>1824</v>
      </c>
      <c r="K83" t="s">
        <v>391</v>
      </c>
    </row>
    <row r="84" spans="1:11" x14ac:dyDescent="0.35">
      <c r="A84" t="s">
        <v>30</v>
      </c>
      <c r="B84" t="s">
        <v>31</v>
      </c>
      <c r="C84" t="s">
        <v>274</v>
      </c>
      <c r="D84" t="s">
        <v>274</v>
      </c>
      <c r="E84" t="s">
        <v>382</v>
      </c>
      <c r="F84" t="s">
        <v>394</v>
      </c>
      <c r="G84" t="s">
        <v>1825</v>
      </c>
      <c r="H84" t="s">
        <v>393</v>
      </c>
      <c r="I84" t="s">
        <v>1826</v>
      </c>
      <c r="J84" t="s">
        <v>1827</v>
      </c>
      <c r="K84" t="s">
        <v>391</v>
      </c>
    </row>
    <row r="85" spans="1:11" x14ac:dyDescent="0.35">
      <c r="A85" t="s">
        <v>30</v>
      </c>
      <c r="B85" t="s">
        <v>31</v>
      </c>
      <c r="C85" t="s">
        <v>289</v>
      </c>
      <c r="D85" t="s">
        <v>289</v>
      </c>
      <c r="E85" t="s">
        <v>246</v>
      </c>
      <c r="F85" t="s">
        <v>297</v>
      </c>
      <c r="G85" t="s">
        <v>295</v>
      </c>
      <c r="H85" t="s">
        <v>296</v>
      </c>
      <c r="I85" t="s">
        <v>1828</v>
      </c>
      <c r="J85" t="s">
        <v>1829</v>
      </c>
      <c r="K85" t="s">
        <v>294</v>
      </c>
    </row>
    <row r="86" spans="1:11" x14ac:dyDescent="0.35">
      <c r="A86" t="s">
        <v>30</v>
      </c>
      <c r="B86" t="s">
        <v>45</v>
      </c>
      <c r="C86" t="s">
        <v>745</v>
      </c>
      <c r="D86" t="s">
        <v>745</v>
      </c>
      <c r="E86" t="s">
        <v>1830</v>
      </c>
      <c r="F86" t="s">
        <v>745</v>
      </c>
      <c r="G86" t="s">
        <v>1831</v>
      </c>
      <c r="H86" t="s">
        <v>1832</v>
      </c>
      <c r="I86" t="s">
        <v>1833</v>
      </c>
      <c r="J86" t="s">
        <v>1834</v>
      </c>
      <c r="K86" t="s">
        <v>751</v>
      </c>
    </row>
    <row r="87" spans="1:11" x14ac:dyDescent="0.35">
      <c r="A87" t="s">
        <v>30</v>
      </c>
      <c r="B87" t="s">
        <v>45</v>
      </c>
      <c r="C87" t="s">
        <v>732</v>
      </c>
      <c r="D87" t="s">
        <v>752</v>
      </c>
      <c r="E87" t="s">
        <v>69</v>
      </c>
      <c r="F87" t="s">
        <v>755</v>
      </c>
      <c r="G87" t="s">
        <v>1083</v>
      </c>
      <c r="H87" t="s">
        <v>754</v>
      </c>
      <c r="I87" t="s">
        <v>1835</v>
      </c>
      <c r="J87" t="s">
        <v>1836</v>
      </c>
      <c r="K87" t="s">
        <v>1837</v>
      </c>
    </row>
    <row r="88" spans="1:11" x14ac:dyDescent="0.35">
      <c r="A88" t="s">
        <v>30</v>
      </c>
      <c r="B88" t="s">
        <v>45</v>
      </c>
      <c r="C88" t="s">
        <v>732</v>
      </c>
      <c r="D88" t="s">
        <v>833</v>
      </c>
      <c r="E88" t="s">
        <v>78</v>
      </c>
      <c r="F88" t="s">
        <v>835</v>
      </c>
      <c r="G88" t="s">
        <v>1067</v>
      </c>
      <c r="H88" t="s">
        <v>834</v>
      </c>
      <c r="I88" t="s">
        <v>1838</v>
      </c>
      <c r="J88" t="s">
        <v>1839</v>
      </c>
      <c r="K88" t="s">
        <v>838</v>
      </c>
    </row>
    <row r="89" spans="1:11" x14ac:dyDescent="0.35">
      <c r="A89" t="s">
        <v>30</v>
      </c>
      <c r="B89" t="s">
        <v>45</v>
      </c>
      <c r="C89" t="s">
        <v>732</v>
      </c>
      <c r="D89" t="s">
        <v>833</v>
      </c>
      <c r="E89" t="s">
        <v>78</v>
      </c>
      <c r="F89" t="s">
        <v>840</v>
      </c>
      <c r="G89" t="s">
        <v>1840</v>
      </c>
      <c r="H89" t="s">
        <v>839</v>
      </c>
      <c r="I89" t="s">
        <v>1841</v>
      </c>
      <c r="J89" t="s">
        <v>1842</v>
      </c>
      <c r="K89" t="s">
        <v>838</v>
      </c>
    </row>
    <row r="90" spans="1:11" x14ac:dyDescent="0.35">
      <c r="A90" t="s">
        <v>30</v>
      </c>
      <c r="B90" t="s">
        <v>45</v>
      </c>
      <c r="C90" t="s">
        <v>732</v>
      </c>
      <c r="D90" t="s">
        <v>833</v>
      </c>
      <c r="E90" t="s">
        <v>78</v>
      </c>
      <c r="F90" t="s">
        <v>844</v>
      </c>
      <c r="G90" t="s">
        <v>1655</v>
      </c>
      <c r="H90" t="s">
        <v>843</v>
      </c>
      <c r="I90" t="s">
        <v>1843</v>
      </c>
      <c r="J90" t="s">
        <v>1844</v>
      </c>
      <c r="K90" t="s">
        <v>838</v>
      </c>
    </row>
    <row r="91" spans="1:11" x14ac:dyDescent="0.35">
      <c r="A91" t="s">
        <v>30</v>
      </c>
      <c r="B91" t="s">
        <v>45</v>
      </c>
      <c r="C91" t="s">
        <v>732</v>
      </c>
      <c r="D91" t="s">
        <v>732</v>
      </c>
      <c r="E91" t="s">
        <v>78</v>
      </c>
      <c r="F91" t="s">
        <v>848</v>
      </c>
      <c r="G91" t="s">
        <v>1845</v>
      </c>
      <c r="H91" t="s">
        <v>847</v>
      </c>
      <c r="I91" t="s">
        <v>1846</v>
      </c>
      <c r="J91" t="s">
        <v>1847</v>
      </c>
      <c r="K91" t="s">
        <v>838</v>
      </c>
    </row>
    <row r="92" spans="1:11" x14ac:dyDescent="0.35">
      <c r="A92" t="s">
        <v>30</v>
      </c>
      <c r="B92" t="s">
        <v>45</v>
      </c>
      <c r="C92" t="s">
        <v>732</v>
      </c>
      <c r="D92" t="s">
        <v>732</v>
      </c>
      <c r="E92" t="s">
        <v>78</v>
      </c>
      <c r="F92" t="s">
        <v>852</v>
      </c>
      <c r="G92" t="s">
        <v>1848</v>
      </c>
      <c r="H92" t="s">
        <v>851</v>
      </c>
      <c r="I92" t="s">
        <v>1849</v>
      </c>
      <c r="J92" t="s">
        <v>1850</v>
      </c>
      <c r="K92" t="s">
        <v>838</v>
      </c>
    </row>
    <row r="93" spans="1:11" x14ac:dyDescent="0.35">
      <c r="A93" t="s">
        <v>30</v>
      </c>
      <c r="B93" t="s">
        <v>45</v>
      </c>
      <c r="C93" t="s">
        <v>732</v>
      </c>
      <c r="D93" t="s">
        <v>738</v>
      </c>
      <c r="E93" t="s">
        <v>69</v>
      </c>
      <c r="F93" t="s">
        <v>741</v>
      </c>
      <c r="G93" t="s">
        <v>739</v>
      </c>
      <c r="H93" t="s">
        <v>740</v>
      </c>
      <c r="I93" t="s">
        <v>1851</v>
      </c>
      <c r="J93" t="s">
        <v>1852</v>
      </c>
      <c r="K93" t="s">
        <v>1853</v>
      </c>
    </row>
    <row r="94" spans="1:11" x14ac:dyDescent="0.35">
      <c r="A94" t="s">
        <v>30</v>
      </c>
      <c r="B94" t="s">
        <v>32</v>
      </c>
      <c r="C94" t="s">
        <v>411</v>
      </c>
      <c r="D94" t="s">
        <v>411</v>
      </c>
      <c r="E94" t="s">
        <v>69</v>
      </c>
      <c r="F94" t="s">
        <v>413</v>
      </c>
      <c r="G94" t="s">
        <v>1854</v>
      </c>
      <c r="H94" t="s">
        <v>412</v>
      </c>
      <c r="I94" t="s">
        <v>1855</v>
      </c>
      <c r="J94" t="s">
        <v>1856</v>
      </c>
      <c r="K94" t="s">
        <v>418</v>
      </c>
    </row>
    <row r="95" spans="1:11" x14ac:dyDescent="0.35">
      <c r="A95" t="s">
        <v>30</v>
      </c>
      <c r="B95" t="s">
        <v>32</v>
      </c>
      <c r="C95" t="s">
        <v>411</v>
      </c>
      <c r="D95" t="s">
        <v>411</v>
      </c>
      <c r="E95" t="s">
        <v>69</v>
      </c>
      <c r="F95" t="s">
        <v>428</v>
      </c>
      <c r="G95" t="s">
        <v>428</v>
      </c>
      <c r="H95" t="s">
        <v>423</v>
      </c>
      <c r="I95" t="s">
        <v>1857</v>
      </c>
      <c r="J95" t="s">
        <v>1858</v>
      </c>
      <c r="K95" t="s">
        <v>418</v>
      </c>
    </row>
    <row r="96" spans="1:11" x14ac:dyDescent="0.35">
      <c r="A96" t="s">
        <v>30</v>
      </c>
      <c r="B96" t="s">
        <v>32</v>
      </c>
      <c r="C96" t="s">
        <v>411</v>
      </c>
      <c r="D96" t="s">
        <v>411</v>
      </c>
      <c r="E96" t="s">
        <v>78</v>
      </c>
      <c r="F96" t="s">
        <v>421</v>
      </c>
      <c r="G96" t="s">
        <v>419</v>
      </c>
      <c r="H96" t="s">
        <v>420</v>
      </c>
      <c r="I96" t="s">
        <v>1859</v>
      </c>
      <c r="J96" t="s">
        <v>1860</v>
      </c>
      <c r="K96" t="s">
        <v>418</v>
      </c>
    </row>
    <row r="97" spans="1:11" x14ac:dyDescent="0.35">
      <c r="A97" t="s">
        <v>30</v>
      </c>
      <c r="B97" t="s">
        <v>32</v>
      </c>
      <c r="C97" t="s">
        <v>411</v>
      </c>
      <c r="D97" t="s">
        <v>411</v>
      </c>
      <c r="E97" t="s">
        <v>78</v>
      </c>
      <c r="F97" t="s">
        <v>425</v>
      </c>
      <c r="G97" t="s">
        <v>1655</v>
      </c>
      <c r="H97" t="s">
        <v>420</v>
      </c>
      <c r="I97" t="s">
        <v>1861</v>
      </c>
      <c r="J97" t="s">
        <v>1862</v>
      </c>
      <c r="K97" t="s">
        <v>418</v>
      </c>
    </row>
    <row r="98" spans="1:11" x14ac:dyDescent="0.35">
      <c r="A98" t="s">
        <v>30</v>
      </c>
      <c r="B98" t="s">
        <v>32</v>
      </c>
      <c r="C98" t="s">
        <v>411</v>
      </c>
      <c r="D98" t="s">
        <v>411</v>
      </c>
      <c r="E98" t="s">
        <v>78</v>
      </c>
      <c r="F98" t="s">
        <v>424</v>
      </c>
      <c r="G98" t="s">
        <v>1655</v>
      </c>
      <c r="H98" t="s">
        <v>423</v>
      </c>
      <c r="I98" t="s">
        <v>1863</v>
      </c>
      <c r="J98" t="s">
        <v>1864</v>
      </c>
      <c r="K98" t="s">
        <v>418</v>
      </c>
    </row>
    <row r="99" spans="1:11" x14ac:dyDescent="0.35">
      <c r="A99" t="s">
        <v>30</v>
      </c>
      <c r="B99" t="s">
        <v>32</v>
      </c>
      <c r="C99" t="s">
        <v>411</v>
      </c>
      <c r="D99" t="s">
        <v>411</v>
      </c>
      <c r="E99" t="s">
        <v>78</v>
      </c>
      <c r="F99" t="s">
        <v>427</v>
      </c>
      <c r="G99" t="s">
        <v>1655</v>
      </c>
      <c r="H99" t="s">
        <v>426</v>
      </c>
      <c r="I99" t="s">
        <v>1865</v>
      </c>
      <c r="J99" t="s">
        <v>1866</v>
      </c>
      <c r="K99" t="s">
        <v>418</v>
      </c>
    </row>
    <row r="100" spans="1:11" x14ac:dyDescent="0.35">
      <c r="A100" t="s">
        <v>30</v>
      </c>
      <c r="B100" t="s">
        <v>32</v>
      </c>
      <c r="C100" t="s">
        <v>411</v>
      </c>
      <c r="D100" t="s">
        <v>411</v>
      </c>
      <c r="E100" t="s">
        <v>78</v>
      </c>
      <c r="F100" t="s">
        <v>417</v>
      </c>
      <c r="G100" t="s">
        <v>417</v>
      </c>
      <c r="H100" t="s">
        <v>1867</v>
      </c>
      <c r="I100" t="s">
        <v>1868</v>
      </c>
      <c r="J100" t="s">
        <v>1869</v>
      </c>
      <c r="K100" t="s">
        <v>418</v>
      </c>
    </row>
    <row r="101" spans="1:11" x14ac:dyDescent="0.35">
      <c r="A101" t="s">
        <v>30</v>
      </c>
      <c r="B101" t="s">
        <v>33</v>
      </c>
      <c r="C101" t="s">
        <v>466</v>
      </c>
      <c r="D101" t="s">
        <v>466</v>
      </c>
      <c r="E101" t="s">
        <v>78</v>
      </c>
      <c r="F101" t="s">
        <v>468</v>
      </c>
      <c r="G101" t="s">
        <v>1655</v>
      </c>
      <c r="H101" t="s">
        <v>1870</v>
      </c>
      <c r="I101" t="s">
        <v>1871</v>
      </c>
      <c r="J101" t="s">
        <v>1872</v>
      </c>
      <c r="K101" t="s">
        <v>469</v>
      </c>
    </row>
    <row r="102" spans="1:11" x14ac:dyDescent="0.35">
      <c r="A102" t="s">
        <v>30</v>
      </c>
      <c r="B102" t="s">
        <v>1873</v>
      </c>
      <c r="C102" t="s">
        <v>520</v>
      </c>
      <c r="D102" t="s">
        <v>520</v>
      </c>
      <c r="E102" t="s">
        <v>69</v>
      </c>
      <c r="F102" t="s">
        <v>521</v>
      </c>
      <c r="G102" t="s">
        <v>521</v>
      </c>
      <c r="H102" t="s">
        <v>1874</v>
      </c>
      <c r="I102" t="s">
        <v>1875</v>
      </c>
      <c r="J102" t="s">
        <v>1876</v>
      </c>
      <c r="K102" t="s">
        <v>525</v>
      </c>
    </row>
    <row r="103" spans="1:11" x14ac:dyDescent="0.35">
      <c r="A103" t="s">
        <v>30</v>
      </c>
      <c r="B103" t="s">
        <v>36</v>
      </c>
      <c r="C103" t="s">
        <v>470</v>
      </c>
      <c r="D103" t="s">
        <v>470</v>
      </c>
      <c r="E103" t="s">
        <v>69</v>
      </c>
      <c r="F103" t="s">
        <v>1877</v>
      </c>
      <c r="G103" t="s">
        <v>471</v>
      </c>
      <c r="H103" t="s">
        <v>472</v>
      </c>
      <c r="I103" t="s">
        <v>1878</v>
      </c>
      <c r="J103" t="s">
        <v>1879</v>
      </c>
      <c r="K103" t="s">
        <v>475</v>
      </c>
    </row>
    <row r="104" spans="1:11" x14ac:dyDescent="0.35">
      <c r="A104" t="s">
        <v>30</v>
      </c>
      <c r="B104" t="s">
        <v>36</v>
      </c>
      <c r="C104" t="s">
        <v>470</v>
      </c>
      <c r="D104" t="s">
        <v>470</v>
      </c>
      <c r="E104" t="s">
        <v>78</v>
      </c>
      <c r="F104" t="s">
        <v>543</v>
      </c>
      <c r="G104" t="s">
        <v>541</v>
      </c>
      <c r="H104" t="s">
        <v>542</v>
      </c>
      <c r="I104" t="s">
        <v>1880</v>
      </c>
      <c r="J104" t="s">
        <v>1881</v>
      </c>
      <c r="K104" t="s">
        <v>475</v>
      </c>
    </row>
    <row r="105" spans="1:11" x14ac:dyDescent="0.35">
      <c r="A105" t="s">
        <v>30</v>
      </c>
      <c r="B105" t="s">
        <v>36</v>
      </c>
      <c r="C105" t="s">
        <v>470</v>
      </c>
      <c r="D105" t="s">
        <v>470</v>
      </c>
      <c r="E105" t="s">
        <v>78</v>
      </c>
      <c r="F105" t="s">
        <v>546</v>
      </c>
      <c r="G105" t="s">
        <v>1655</v>
      </c>
      <c r="H105" t="s">
        <v>542</v>
      </c>
      <c r="I105" t="s">
        <v>1882</v>
      </c>
      <c r="J105" t="s">
        <v>1883</v>
      </c>
      <c r="K105" t="s">
        <v>475</v>
      </c>
    </row>
    <row r="106" spans="1:11" x14ac:dyDescent="0.35">
      <c r="A106" t="s">
        <v>30</v>
      </c>
      <c r="B106" t="s">
        <v>36</v>
      </c>
      <c r="C106" t="s">
        <v>470</v>
      </c>
      <c r="D106" t="s">
        <v>470</v>
      </c>
      <c r="E106" t="s">
        <v>78</v>
      </c>
      <c r="F106" t="s">
        <v>549</v>
      </c>
      <c r="G106" t="s">
        <v>1884</v>
      </c>
      <c r="H106" t="s">
        <v>548</v>
      </c>
      <c r="I106" t="s">
        <v>1885</v>
      </c>
      <c r="J106" t="s">
        <v>1886</v>
      </c>
      <c r="K106" t="s">
        <v>475</v>
      </c>
    </row>
    <row r="107" spans="1:11" x14ac:dyDescent="0.35">
      <c r="A107" t="s">
        <v>30</v>
      </c>
      <c r="B107" t="s">
        <v>36</v>
      </c>
      <c r="C107" t="s">
        <v>470</v>
      </c>
      <c r="D107" t="s">
        <v>470</v>
      </c>
      <c r="E107" t="s">
        <v>78</v>
      </c>
      <c r="F107" t="s">
        <v>554</v>
      </c>
      <c r="G107" t="s">
        <v>547</v>
      </c>
      <c r="H107" t="s">
        <v>553</v>
      </c>
      <c r="I107" t="s">
        <v>1887</v>
      </c>
      <c r="J107" t="s">
        <v>1888</v>
      </c>
      <c r="K107" t="s">
        <v>475</v>
      </c>
    </row>
    <row r="108" spans="1:11" x14ac:dyDescent="0.35">
      <c r="A108" t="s">
        <v>30</v>
      </c>
      <c r="B108" t="s">
        <v>36</v>
      </c>
      <c r="C108" t="s">
        <v>470</v>
      </c>
      <c r="D108" t="s">
        <v>470</v>
      </c>
      <c r="E108" t="s">
        <v>78</v>
      </c>
      <c r="F108" t="s">
        <v>557</v>
      </c>
      <c r="G108" t="s">
        <v>552</v>
      </c>
      <c r="H108" t="s">
        <v>553</v>
      </c>
      <c r="I108" t="s">
        <v>1889</v>
      </c>
      <c r="J108" t="s">
        <v>1890</v>
      </c>
      <c r="K108" t="s">
        <v>475</v>
      </c>
    </row>
    <row r="109" spans="1:11" x14ac:dyDescent="0.35">
      <c r="A109" t="s">
        <v>30</v>
      </c>
      <c r="B109" t="s">
        <v>36</v>
      </c>
      <c r="C109" t="s">
        <v>470</v>
      </c>
      <c r="D109" t="s">
        <v>470</v>
      </c>
      <c r="E109" t="s">
        <v>78</v>
      </c>
      <c r="F109" t="s">
        <v>559</v>
      </c>
      <c r="G109" t="s">
        <v>1655</v>
      </c>
      <c r="H109" t="s">
        <v>558</v>
      </c>
      <c r="I109" t="s">
        <v>1891</v>
      </c>
      <c r="J109" t="s">
        <v>1892</v>
      </c>
      <c r="K109" t="s">
        <v>475</v>
      </c>
    </row>
    <row r="110" spans="1:11" x14ac:dyDescent="0.35">
      <c r="A110" t="s">
        <v>30</v>
      </c>
      <c r="B110" t="s">
        <v>41</v>
      </c>
      <c r="C110" t="s">
        <v>1893</v>
      </c>
      <c r="D110" t="s">
        <v>1893</v>
      </c>
      <c r="E110" t="s">
        <v>663</v>
      </c>
      <c r="F110" t="s">
        <v>665</v>
      </c>
      <c r="G110" t="s">
        <v>1894</v>
      </c>
      <c r="H110" t="s">
        <v>1895</v>
      </c>
      <c r="I110" t="s">
        <v>1896</v>
      </c>
      <c r="J110" t="s">
        <v>1897</v>
      </c>
      <c r="K110" t="s">
        <v>1898</v>
      </c>
    </row>
    <row r="111" spans="1:11" x14ac:dyDescent="0.35">
      <c r="A111" t="s">
        <v>30</v>
      </c>
      <c r="B111" t="s">
        <v>41</v>
      </c>
      <c r="C111" t="s">
        <v>657</v>
      </c>
      <c r="D111" t="s">
        <v>657</v>
      </c>
      <c r="E111" t="s">
        <v>663</v>
      </c>
      <c r="F111" t="s">
        <v>1899</v>
      </c>
      <c r="G111" t="s">
        <v>1900</v>
      </c>
      <c r="H111" t="s">
        <v>664</v>
      </c>
      <c r="I111">
        <v>-26.136132</v>
      </c>
      <c r="J111" t="s">
        <v>1901</v>
      </c>
      <c r="K111" t="s">
        <v>668</v>
      </c>
    </row>
    <row r="112" spans="1:11" x14ac:dyDescent="0.35">
      <c r="A112" t="s">
        <v>30</v>
      </c>
      <c r="B112" t="s">
        <v>41</v>
      </c>
      <c r="C112" t="s">
        <v>657</v>
      </c>
      <c r="D112" t="s">
        <v>657</v>
      </c>
      <c r="E112" t="s">
        <v>69</v>
      </c>
      <c r="F112" t="s">
        <v>660</v>
      </c>
      <c r="G112" t="s">
        <v>658</v>
      </c>
      <c r="H112" t="s">
        <v>659</v>
      </c>
      <c r="I112" t="s">
        <v>1902</v>
      </c>
      <c r="J112" t="s">
        <v>1903</v>
      </c>
      <c r="K112" t="s">
        <v>1904</v>
      </c>
    </row>
    <row r="113" spans="1:11" x14ac:dyDescent="0.35">
      <c r="A113" t="s">
        <v>30</v>
      </c>
      <c r="B113" t="s">
        <v>42</v>
      </c>
      <c r="C113" t="s">
        <v>669</v>
      </c>
      <c r="D113" t="s">
        <v>669</v>
      </c>
      <c r="E113" t="s">
        <v>562</v>
      </c>
      <c r="F113" t="s">
        <v>671</v>
      </c>
      <c r="G113" t="s">
        <v>1905</v>
      </c>
      <c r="H113" t="s">
        <v>670</v>
      </c>
      <c r="I113" t="s">
        <v>1906</v>
      </c>
      <c r="J113" t="s">
        <v>1907</v>
      </c>
      <c r="K113" t="s">
        <v>674</v>
      </c>
    </row>
    <row r="114" spans="1:11" x14ac:dyDescent="0.35">
      <c r="A114" t="s">
        <v>30</v>
      </c>
      <c r="B114" t="s">
        <v>43</v>
      </c>
      <c r="C114" t="s">
        <v>700</v>
      </c>
      <c r="D114" t="s">
        <v>700</v>
      </c>
      <c r="E114" t="s">
        <v>78</v>
      </c>
      <c r="F114" t="s">
        <v>711</v>
      </c>
      <c r="G114" t="s">
        <v>1655</v>
      </c>
      <c r="H114" t="s">
        <v>1908</v>
      </c>
      <c r="I114" t="s">
        <v>1909</v>
      </c>
      <c r="J114" t="s">
        <v>1910</v>
      </c>
      <c r="K114" t="s">
        <v>1911</v>
      </c>
    </row>
    <row r="115" spans="1:11" x14ac:dyDescent="0.35">
      <c r="A115" t="s">
        <v>30</v>
      </c>
      <c r="B115" t="s">
        <v>43</v>
      </c>
      <c r="C115" t="s">
        <v>700</v>
      </c>
      <c r="D115" t="s">
        <v>700</v>
      </c>
      <c r="E115" t="s">
        <v>78</v>
      </c>
      <c r="F115" t="s">
        <v>712</v>
      </c>
      <c r="G115" t="s">
        <v>1655</v>
      </c>
      <c r="H115" t="s">
        <v>1908</v>
      </c>
      <c r="I115" t="s">
        <v>1912</v>
      </c>
      <c r="J115" t="s">
        <v>1913</v>
      </c>
      <c r="K115" t="s">
        <v>1911</v>
      </c>
    </row>
    <row r="116" spans="1:11" x14ac:dyDescent="0.35">
      <c r="A116" t="s">
        <v>30</v>
      </c>
      <c r="B116" t="s">
        <v>43</v>
      </c>
      <c r="C116" t="s">
        <v>700</v>
      </c>
      <c r="D116" t="s">
        <v>700</v>
      </c>
      <c r="E116" t="s">
        <v>78</v>
      </c>
      <c r="F116" t="s">
        <v>714</v>
      </c>
      <c r="G116" t="s">
        <v>1655</v>
      </c>
      <c r="H116" t="s">
        <v>1914</v>
      </c>
      <c r="I116" t="s">
        <v>1915</v>
      </c>
      <c r="J116" t="s">
        <v>1916</v>
      </c>
      <c r="K116" t="s">
        <v>1911</v>
      </c>
    </row>
    <row r="117" spans="1:11" x14ac:dyDescent="0.35">
      <c r="A117" t="s">
        <v>30</v>
      </c>
      <c r="B117" t="s">
        <v>43</v>
      </c>
      <c r="C117" t="s">
        <v>700</v>
      </c>
      <c r="D117" t="s">
        <v>700</v>
      </c>
      <c r="E117" t="s">
        <v>69</v>
      </c>
      <c r="F117" t="s">
        <v>700</v>
      </c>
      <c r="G117" t="s">
        <v>701</v>
      </c>
      <c r="H117" t="s">
        <v>1917</v>
      </c>
      <c r="I117" t="s">
        <v>1918</v>
      </c>
      <c r="J117" t="s">
        <v>1919</v>
      </c>
      <c r="K117" t="s">
        <v>704</v>
      </c>
    </row>
    <row r="118" spans="1:11" x14ac:dyDescent="0.35">
      <c r="A118" t="s">
        <v>30</v>
      </c>
      <c r="B118" t="s">
        <v>43</v>
      </c>
      <c r="C118" t="s">
        <v>692</v>
      </c>
      <c r="D118" t="s">
        <v>692</v>
      </c>
      <c r="E118" t="s">
        <v>78</v>
      </c>
      <c r="F118" t="s">
        <v>709</v>
      </c>
      <c r="G118" t="s">
        <v>705</v>
      </c>
      <c r="H118" t="s">
        <v>1920</v>
      </c>
      <c r="I118" t="s">
        <v>1921</v>
      </c>
      <c r="J118" t="s">
        <v>1922</v>
      </c>
      <c r="K118" t="s">
        <v>1911</v>
      </c>
    </row>
    <row r="119" spans="1:11" x14ac:dyDescent="0.35">
      <c r="A119" t="s">
        <v>30</v>
      </c>
      <c r="B119" t="s">
        <v>43</v>
      </c>
      <c r="C119" t="s">
        <v>692</v>
      </c>
      <c r="D119" t="s">
        <v>692</v>
      </c>
      <c r="E119" t="s">
        <v>78</v>
      </c>
      <c r="F119" t="s">
        <v>707</v>
      </c>
      <c r="G119" t="s">
        <v>1655</v>
      </c>
      <c r="H119" t="s">
        <v>1923</v>
      </c>
      <c r="I119" t="s">
        <v>1924</v>
      </c>
      <c r="J119" t="s">
        <v>1925</v>
      </c>
      <c r="K119" t="s">
        <v>1911</v>
      </c>
    </row>
    <row r="120" spans="1:11" x14ac:dyDescent="0.35">
      <c r="A120" t="s">
        <v>30</v>
      </c>
      <c r="B120" t="s">
        <v>715</v>
      </c>
      <c r="C120" t="s">
        <v>716</v>
      </c>
      <c r="D120" t="s">
        <v>716</v>
      </c>
      <c r="E120" t="s">
        <v>722</v>
      </c>
      <c r="F120" t="s">
        <v>722</v>
      </c>
      <c r="G120" t="s">
        <v>1655</v>
      </c>
      <c r="H120" t="s">
        <v>723</v>
      </c>
      <c r="I120" t="s">
        <v>1926</v>
      </c>
      <c r="J120" t="s">
        <v>1927</v>
      </c>
      <c r="K120" t="s">
        <v>1928</v>
      </c>
    </row>
    <row r="121" spans="1:11" x14ac:dyDescent="0.35">
      <c r="A121" t="s">
        <v>30</v>
      </c>
      <c r="B121" t="s">
        <v>715</v>
      </c>
      <c r="C121" t="s">
        <v>716</v>
      </c>
      <c r="D121" t="s">
        <v>716</v>
      </c>
      <c r="E121" t="s">
        <v>717</v>
      </c>
      <c r="F121" t="s">
        <v>719</v>
      </c>
      <c r="G121" t="s">
        <v>1655</v>
      </c>
      <c r="H121" t="s">
        <v>718</v>
      </c>
      <c r="I121" t="s">
        <v>1929</v>
      </c>
      <c r="J121" t="s">
        <v>1930</v>
      </c>
      <c r="K121" t="s">
        <v>1928</v>
      </c>
    </row>
    <row r="122" spans="1:11" x14ac:dyDescent="0.35">
      <c r="A122" t="s">
        <v>30</v>
      </c>
      <c r="B122" t="s">
        <v>44</v>
      </c>
      <c r="C122" t="s">
        <v>726</v>
      </c>
      <c r="D122" t="s">
        <v>726</v>
      </c>
      <c r="E122" t="s">
        <v>78</v>
      </c>
      <c r="F122" t="s">
        <v>728</v>
      </c>
      <c r="G122" t="s">
        <v>1931</v>
      </c>
      <c r="H122" t="s">
        <v>727</v>
      </c>
      <c r="I122" t="s">
        <v>1932</v>
      </c>
      <c r="J122" t="s">
        <v>1933</v>
      </c>
      <c r="K122" t="s">
        <v>731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0AA344C0C9E6478BDE035FA6D2965D" ma:contentTypeVersion="19" ma:contentTypeDescription="Crée un document." ma:contentTypeScope="" ma:versionID="d4d7c81d71ddfcf6859bb86b058a4185">
  <xsd:schema xmlns:xsd="http://www.w3.org/2001/XMLSchema" xmlns:xs="http://www.w3.org/2001/XMLSchema" xmlns:p="http://schemas.microsoft.com/office/2006/metadata/properties" xmlns:ns2="c8f46970-832f-4ec6-ac65-6c6fdde38eba" xmlns:ns3="4d457f41-78d6-40ca-bcb6-34c5c9a27d7f" targetNamespace="http://schemas.microsoft.com/office/2006/metadata/properties" ma:root="true" ma:fieldsID="dd5f87e918462b7a20f5ec227a8af713" ns2:_="" ns3:_="">
    <xsd:import namespace="c8f46970-832f-4ec6-ac65-6c6fdde38eba"/>
    <xsd:import namespace="4d457f41-78d6-40ca-bcb6-34c5c9a27d7f"/>
    <xsd:element name="properties">
      <xsd:complexType>
        <xsd:sequence>
          <xsd:element name="documentManagement">
            <xsd:complexType>
              <xsd:all>
                <xsd:element ref="ns2:MediaServiceMetadata" minOccurs="0"/>
                <xsd:element ref="ns2:MediaServiceFastMetadata" minOccurs="0"/>
                <xsd:element ref="ns2:Status" minOccurs="0"/>
                <xsd:element ref="ns2:Author0" minOccurs="0"/>
                <xsd:element ref="ns2:DocumentModel" minOccurs="0"/>
                <xsd:element ref="ns2:Language" minOccurs="0"/>
                <xsd:element ref="ns2:Confidentiality"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DateTaken"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f46970-832f-4ec6-ac65-6c6fdde38e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Status" ma:index="10" nillable="true" ma:displayName="Status" ma:format="Dropdown" ma:internalName="Status">
      <xsd:simpleType>
        <xsd:restriction base="dms:Choice">
          <xsd:enumeration value="In Progress"/>
          <xsd:enumeration value="Finalised"/>
        </xsd:restriction>
      </xsd:simpleType>
    </xsd:element>
    <xsd:element name="Author0" ma:index="11" nillable="true" ma:displayName="Author" ma:format="Dropdown" ma:internalName="Author0">
      <xsd:simpleType>
        <xsd:restriction base="dms:Text">
          <xsd:maxLength value="255"/>
        </xsd:restriction>
      </xsd:simpleType>
    </xsd:element>
    <xsd:element name="DocumentModel" ma:index="12" nillable="true" ma:displayName="Document Model" ma:format="Dropdown" ma:internalName="DocumentModel">
      <xsd:simpleType>
        <xsd:restriction base="dms:Text">
          <xsd:maxLength value="255"/>
        </xsd:restriction>
      </xsd:simpleType>
    </xsd:element>
    <xsd:element name="Language" ma:index="13" nillable="true" ma:displayName="Language" ma:format="Dropdown" ma:internalName="Language">
      <xsd:simpleType>
        <xsd:restriction base="dms:Choice">
          <xsd:enumeration value="English"/>
          <xsd:enumeration value="French"/>
        </xsd:restriction>
      </xsd:simpleType>
    </xsd:element>
    <xsd:element name="Confidentiality" ma:index="14" nillable="true" ma:displayName="Confidentiality" ma:format="Dropdown" ma:internalName="Confidentiality">
      <xsd:simpleType>
        <xsd:restriction base="dms:Choice">
          <xsd:enumeration value="Internal"/>
          <xsd:enumeration value="Unrestricted"/>
          <xsd:enumeration value="Orange Restricted"/>
          <xsd:enumeration value="Orange Confidential"/>
          <xsd:enumeration value="Orange Secret"/>
        </xsd:restrictio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aa8976df-9c6d-4c47-88b7-85635e50fb4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DateTaken" ma:index="24" nillable="true" ma:displayName="MediaServiceDateTaken" ma:hidden="true" ma:indexed="true" ma:internalName="MediaServiceDateTaken"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457f41-78d6-40ca-bcb6-34c5c9a27d7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94843a5-fb9a-4c1f-b3c3-c22234efb225}" ma:internalName="TaxCatchAll" ma:showField="CatchAllData" ma:web="4d457f41-78d6-40ca-bcb6-34c5c9a27d7f">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c8f46970-832f-4ec6-ac65-6c6fdde38eba" xsi:nil="true"/>
    <lcf76f155ced4ddcb4097134ff3c332f xmlns="c8f46970-832f-4ec6-ac65-6c6fdde38eba">
      <Terms xmlns="http://schemas.microsoft.com/office/infopath/2007/PartnerControls"/>
    </lcf76f155ced4ddcb4097134ff3c332f>
    <TaxCatchAll xmlns="4d457f41-78d6-40ca-bcb6-34c5c9a27d7f" xsi:nil="true"/>
    <Language xmlns="c8f46970-832f-4ec6-ac65-6c6fdde38eba" xsi:nil="true"/>
    <DocumentModel xmlns="c8f46970-832f-4ec6-ac65-6c6fdde38eba" xsi:nil="true"/>
    <Confidentiality xmlns="c8f46970-832f-4ec6-ac65-6c6fdde38eba" xsi:nil="true"/>
    <Author0 xmlns="c8f46970-832f-4ec6-ac65-6c6fdde38eba" xsi:nil="true"/>
  </documentManagement>
</p:properties>
</file>

<file path=customXml/itemProps1.xml><?xml version="1.0" encoding="utf-8"?>
<ds:datastoreItem xmlns:ds="http://schemas.openxmlformats.org/officeDocument/2006/customXml" ds:itemID="{A9EC2029-6B5F-4724-8FC3-7ADABF8BF890}"/>
</file>

<file path=customXml/itemProps2.xml><?xml version="1.0" encoding="utf-8"?>
<ds:datastoreItem xmlns:ds="http://schemas.openxmlformats.org/officeDocument/2006/customXml" ds:itemID="{91DDDFFC-CA17-4FF9-9E3E-F4021453EDA7}">
  <ds:schemaRefs>
    <ds:schemaRef ds:uri="http://schemas.microsoft.com/sharepoint/v3/contenttype/forms"/>
  </ds:schemaRefs>
</ds:datastoreItem>
</file>

<file path=customXml/itemProps3.xml><?xml version="1.0" encoding="utf-8"?>
<ds:datastoreItem xmlns:ds="http://schemas.openxmlformats.org/officeDocument/2006/customXml" ds:itemID="{9C7EB4E7-5C34-4CB1-9BC6-9E5FA53AE3C1}">
  <ds:schemaRefs>
    <ds:schemaRef ds:uri="http://schemas.microsoft.com/office/infopath/2007/PartnerControls"/>
    <ds:schemaRef ds:uri="http://www.w3.org/XML/1998/namespace"/>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4d457f41-78d6-40ca-bcb6-34c5c9a27d7f"/>
    <ds:schemaRef ds:uri="c8f46970-832f-4ec6-ac65-6c6fdde38eba"/>
    <ds:schemaRef ds:uri="http://purl.org/dc/elements/1.1/"/>
  </ds:schemaRefs>
</ds:datastoreItem>
</file>

<file path=docMetadata/LabelInfo.xml><?xml version="1.0" encoding="utf-8"?>
<clbl:labelList xmlns:clbl="http://schemas.microsoft.com/office/2020/mipLabelMetadata">
  <clbl:label id="{e6c818a6-e1a0-4a6e-a969-20d857c5dc62}" enabled="1" method="Standard" siteId="{90c7a20a-f34b-40bf-bc48-b9253b6f5d2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Liste cible - Plazza</vt:lpstr>
      <vt:lpstr>Feuil2</vt:lpstr>
      <vt:lpstr>Consolidate List</vt:lpstr>
      <vt:lpstr>Sheet1</vt:lpstr>
      <vt:lpstr>Liste source - OLD</vt:lpstr>
      <vt:lpstr>Liste source - MARK</vt:lpstr>
      <vt:lpstr>Liste source - MICH</vt:lpstr>
      <vt:lpstr>Liste source - NEW</vt:lpstr>
    </vt:vector>
  </TitlesOfParts>
  <Manager/>
  <Company>Orange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TAHIRI Samy OBS/GDO</dc:creator>
  <cp:keywords/>
  <dc:description/>
  <cp:lastModifiedBy>TAHIRI Samy OBS/GDO</cp:lastModifiedBy>
  <cp:revision/>
  <dcterms:created xsi:type="dcterms:W3CDTF">2024-02-08T15:40:45Z</dcterms:created>
  <dcterms:modified xsi:type="dcterms:W3CDTF">2025-09-01T10:50:02Z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0x010100920AA344C0C9E6478BDE035FA6D2965D</vt:lpwstr>
  </property>
  <property fmtid="{D5CDD505-2E9C-101B-9397-08002B2CF9AE}" pid="3" name="MediaServiceImageTags">
    <vt:lpwstr/>
  </property>
</Properties>
</file>